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ducts" sheetId="2" state="visible" r:id="rId2"/>
    <sheet name="Summary" sheetId="3" state="visible" r:id="rId3"/>
  </sheets>
  <definedNames>
    <definedName name="_xlnm._FilterDatabase" localSheetId="1" hidden="1">'Products'!$A$1:$L$349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Sabify</author>
  </authors>
  <commentList>
    <comment ref="A1" authorId="0" shapeId="0">
      <text>
        <t>Naye codes 2001 se. Purane products (1000-1265 waghera) deactivate honge.</t>
      </text>
    </comment>
    <comment ref="G1" authorId="0" shapeId="0">
      <text>
        <t>Source: client PDF "Carton Qty" - 1 Carton ke andar kitne units (PCS / Packet). Ye cartons ki ginti NAHI hai. Khali = PDF me nahi di.</t>
      </text>
    </comment>
    <comment ref="H1" authorId="0" shapeId="0">
      <text>
        <t>Source: client PDF "Items Enventory (1).pdf" - Unit Amount / Packet Amount. Client ke mutabiq ye sale price hai (1 unit ki).</t>
      </text>
    </comment>
    <comment ref="J1" authorId="0" shapeId="0">
      <text>
        <t>PDF me cost nahi hai, is liye 0. Cost GRN / Opening Stock se aayegi.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Company 140 (AHSAN BUSINESS) - naya product list, client PDF "Items Enventory (1).pdf" se.</t>
        </is>
      </c>
    </row>
    <row r="2">
      <c r="A2" s="2" t="inlineStr"/>
    </row>
    <row r="3">
      <c r="A3" s="3" t="inlineStr">
        <is>
          <t>Kya check karna hai:</t>
        </is>
      </c>
    </row>
    <row r="4">
      <c r="A4" s="2" t="inlineStr">
        <is>
          <t>1. Product Name, Department, Sub Department sahi hain?</t>
        </is>
      </c>
    </row>
    <row r="5">
      <c r="A5" s="2" t="inlineStr">
        <is>
          <t>2. Unit (Stock/Sale): jis unit me customer ko bechte hain (PCS / Packet / Box / bag). Stock isi unit me rahega.</t>
        </is>
      </c>
    </row>
    <row r="6">
      <c r="A6" s="2" t="inlineStr">
        <is>
          <t>3. Units per Carton: 1 Carton ke ANDAR kitne pieces/packets hain (cartons ki ginti nahi). Jaise 1000 = 1 Carton me 1000 PCS.</t>
        </is>
      </c>
    </row>
    <row r="7">
      <c r="A7" s="2" t="inlineStr">
        <is>
          <t xml:space="preserve">   "Carton Contains" column yahi seedha likhta hai: "1 Carton = 1,000 PCS". Stock entry (Opening / PO / GRN) pe Carton chunein to system khud PCS me badal dega.</t>
        </is>
      </c>
    </row>
    <row r="8">
      <c r="A8" s="2" t="inlineStr">
        <is>
          <t>4. Sale Price per Unit: 1 unit ki sale price. Carton Price khud calculate hota hai (formula).</t>
        </is>
      </c>
    </row>
    <row r="9">
      <c r="A9" s="2" t="inlineStr">
        <is>
          <t>5. Peeli (yellow) "Check" wali rows: PDF me shak tha - inhe zaroor dekhein.</t>
        </is>
      </c>
    </row>
    <row r="10">
      <c r="A10" s="2" t="inlineStr"/>
    </row>
    <row r="11">
      <c r="A11" s="2" t="inlineStr">
        <is>
          <t>Blue text = edit kar sakte hain. Black = formula / system.</t>
        </is>
      </c>
    </row>
    <row r="12">
      <c r="A12" s="2" t="inlineStr">
        <is>
          <t>Example: "Paper Cup 2.5oz" - Unit PCS, 1 Carton = 2,000 PCS, Sale Price 2.50 per PCS -&gt; Carton Price 5,000.</t>
        </is>
      </c>
    </row>
    <row r="13">
      <c r="A13" s="2" t="inlineStr"/>
    </row>
    <row r="14">
      <c r="A14" s="2" t="inlineStr">
        <is>
          <t>Naam me "&amp;", "/", "," nahi hain (product form inhe allow nahi karta) - jaise "Hot and Cold", "Without Cut".</t>
        </is>
      </c>
    </row>
    <row r="15">
      <c r="A15" s="2" t="inlineStr">
        <is>
          <t>Purane 292 products deactivate honge (delete nahi), naye codes 2001 se shuru.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6" customWidth="1" min="4" max="4"/>
    <col width="16" customWidth="1" min="5" max="5"/>
    <col width="13" customWidth="1" min="6" max="6"/>
    <col width="14" customWidth="1" min="7" max="7"/>
    <col width="20" customWidth="1" min="8" max="8"/>
    <col width="16" customWidth="1" min="9" max="9"/>
    <col width="20" customWidth="1" min="10" max="10"/>
    <col width="24" customWidth="1" min="11" max="11"/>
    <col width="60" customWidth="1" min="12" max="12"/>
  </cols>
  <sheetData>
    <row r="1" ht="32" customHeight="1">
      <c r="A1" s="4" t="inlineStr">
        <is>
          <t>Item Code</t>
        </is>
      </c>
      <c r="B1" s="4" t="inlineStr">
        <is>
          <t>Department</t>
        </is>
      </c>
      <c r="C1" s="4" t="inlineStr">
        <is>
          <t>Sub Department</t>
        </is>
      </c>
      <c r="D1" s="4" t="inlineStr">
        <is>
          <t>Product Name</t>
        </is>
      </c>
      <c r="E1" s="4" t="inlineStr">
        <is>
          <t>Unit (Stock/Sale)</t>
        </is>
      </c>
      <c r="F1" s="4" t="inlineStr">
        <is>
          <t>Packing UOM</t>
        </is>
      </c>
      <c r="G1" s="4" t="inlineStr">
        <is>
          <t>Units per Carton</t>
        </is>
      </c>
      <c r="H1" s="4" t="inlineStr">
        <is>
          <t>Sale Price per Unit (Rs)</t>
        </is>
      </c>
      <c r="I1" s="4" t="inlineStr">
        <is>
          <t>Carton Price (Rs)</t>
        </is>
      </c>
      <c r="J1" s="4" t="inlineStr">
        <is>
          <t>Cost Price per Unit (Rs)</t>
        </is>
      </c>
      <c r="K1" s="4" t="inlineStr">
        <is>
          <t>Carton Contains</t>
        </is>
      </c>
      <c r="L1" s="4" t="inlineStr">
        <is>
          <t>Note / Check</t>
        </is>
      </c>
    </row>
    <row r="2">
      <c r="A2" s="5" t="n">
        <v>2001</v>
      </c>
      <c r="B2" s="6" t="inlineStr">
        <is>
          <t>LP Series</t>
        </is>
      </c>
      <c r="C2" s="6" t="inlineStr">
        <is>
          <t>LP Series</t>
        </is>
      </c>
      <c r="D2" s="6" t="inlineStr">
        <is>
          <t>LP 1</t>
        </is>
      </c>
      <c r="E2" s="6" t="inlineStr">
        <is>
          <t>Packet</t>
        </is>
      </c>
      <c r="F2" s="6" t="n"/>
      <c r="G2" s="7" t="n"/>
      <c r="H2" s="8" t="n">
        <v>2080</v>
      </c>
      <c r="I2" s="9">
        <f>IF(G2="","",G2*H2)</f>
        <v/>
      </c>
      <c r="J2" s="8" t="n">
        <v>0</v>
      </c>
      <c r="K2" s="5">
        <f>IF(G2="","",IF(F2="","","1 "&amp;F2&amp;" = "&amp;TEXT(G2,"#,##0")&amp;" "&amp;E2))</f>
        <v/>
      </c>
      <c r="L2" s="5" t="inlineStr">
        <is>
          <t>PDF: Packet Amount, carton qty nahi di</t>
        </is>
      </c>
    </row>
    <row r="3">
      <c r="A3" s="5" t="n">
        <v>2002</v>
      </c>
      <c r="B3" s="6" t="inlineStr">
        <is>
          <t>LP Series</t>
        </is>
      </c>
      <c r="C3" s="6" t="inlineStr">
        <is>
          <t>LP Series</t>
        </is>
      </c>
      <c r="D3" s="6" t="inlineStr">
        <is>
          <t>LP 26</t>
        </is>
      </c>
      <c r="E3" s="6" t="inlineStr">
        <is>
          <t>Packet</t>
        </is>
      </c>
      <c r="F3" s="6" t="n"/>
      <c r="G3" s="7" t="n"/>
      <c r="H3" s="8" t="n">
        <v>1630</v>
      </c>
      <c r="I3" s="9">
        <f>IF(G3="","",G3*H3)</f>
        <v/>
      </c>
      <c r="J3" s="8" t="n">
        <v>0</v>
      </c>
      <c r="K3" s="5">
        <f>IF(G3="","",IF(F3="","","1 "&amp;F3&amp;" = "&amp;TEXT(G3,"#,##0")&amp;" "&amp;E3))</f>
        <v/>
      </c>
      <c r="L3" s="5" t="inlineStr">
        <is>
          <t>PDF: Packet Amount, carton qty nahi di</t>
        </is>
      </c>
    </row>
    <row r="4">
      <c r="A4" s="5" t="n">
        <v>2003</v>
      </c>
      <c r="B4" s="6" t="inlineStr">
        <is>
          <t>LP Series</t>
        </is>
      </c>
      <c r="C4" s="6" t="inlineStr">
        <is>
          <t>LP Series</t>
        </is>
      </c>
      <c r="D4" s="6" t="inlineStr">
        <is>
          <t>LP 8</t>
        </is>
      </c>
      <c r="E4" s="6" t="inlineStr">
        <is>
          <t>Packet</t>
        </is>
      </c>
      <c r="F4" s="6" t="n"/>
      <c r="G4" s="7" t="n"/>
      <c r="H4" s="8" t="n">
        <v>2430</v>
      </c>
      <c r="I4" s="9">
        <f>IF(G4="","",G4*H4)</f>
        <v/>
      </c>
      <c r="J4" s="8" t="n">
        <v>0</v>
      </c>
      <c r="K4" s="5">
        <f>IF(G4="","",IF(F4="","","1 "&amp;F4&amp;" = "&amp;TEXT(G4,"#,##0")&amp;" "&amp;E4))</f>
        <v/>
      </c>
      <c r="L4" s="5" t="inlineStr">
        <is>
          <t>PDF: Packet Amount, carton qty nahi di</t>
        </is>
      </c>
    </row>
    <row r="5">
      <c r="A5" s="5" t="n">
        <v>2004</v>
      </c>
      <c r="B5" s="6" t="inlineStr">
        <is>
          <t>LP Series</t>
        </is>
      </c>
      <c r="C5" s="6" t="inlineStr">
        <is>
          <t>LP Series</t>
        </is>
      </c>
      <c r="D5" s="6" t="inlineStr">
        <is>
          <t>LP 9</t>
        </is>
      </c>
      <c r="E5" s="6" t="inlineStr">
        <is>
          <t>Packet</t>
        </is>
      </c>
      <c r="F5" s="6" t="n"/>
      <c r="G5" s="7" t="n"/>
      <c r="H5" s="8" t="n">
        <v>1150</v>
      </c>
      <c r="I5" s="9">
        <f>IF(G5="","",G5*H5)</f>
        <v/>
      </c>
      <c r="J5" s="8" t="n">
        <v>0</v>
      </c>
      <c r="K5" s="5">
        <f>IF(G5="","",IF(F5="","","1 "&amp;F5&amp;" = "&amp;TEXT(G5,"#,##0")&amp;" "&amp;E5))</f>
        <v/>
      </c>
      <c r="L5" s="5" t="inlineStr">
        <is>
          <t>PDF: Packet Amount, carton qty nahi di</t>
        </is>
      </c>
    </row>
    <row r="6">
      <c r="A6" s="5" t="n">
        <v>2005</v>
      </c>
      <c r="B6" s="6" t="inlineStr">
        <is>
          <t>LP Series</t>
        </is>
      </c>
      <c r="C6" s="6" t="inlineStr">
        <is>
          <t>LP Series</t>
        </is>
      </c>
      <c r="D6" s="6" t="inlineStr">
        <is>
          <t>LP 11</t>
        </is>
      </c>
      <c r="E6" s="6" t="inlineStr">
        <is>
          <t>Packet</t>
        </is>
      </c>
      <c r="F6" s="6" t="n"/>
      <c r="G6" s="7" t="n"/>
      <c r="H6" s="8" t="n">
        <v>925</v>
      </c>
      <c r="I6" s="9">
        <f>IF(G6="","",G6*H6)</f>
        <v/>
      </c>
      <c r="J6" s="8" t="n">
        <v>0</v>
      </c>
      <c r="K6" s="5">
        <f>IF(G6="","",IF(F6="","","1 "&amp;F6&amp;" = "&amp;TEXT(G6,"#,##0")&amp;" "&amp;E6))</f>
        <v/>
      </c>
      <c r="L6" s="5" t="inlineStr">
        <is>
          <t>PDF: Packet Amount, carton qty nahi di</t>
        </is>
      </c>
    </row>
    <row r="7">
      <c r="A7" s="5" t="n">
        <v>2006</v>
      </c>
      <c r="B7" s="6" t="inlineStr">
        <is>
          <t>LP Series</t>
        </is>
      </c>
      <c r="C7" s="6" t="inlineStr">
        <is>
          <t>LP Series</t>
        </is>
      </c>
      <c r="D7" s="6" t="inlineStr">
        <is>
          <t>LP 11 Cut</t>
        </is>
      </c>
      <c r="E7" s="6" t="inlineStr">
        <is>
          <t>Packet</t>
        </is>
      </c>
      <c r="F7" s="6" t="n"/>
      <c r="G7" s="7" t="n"/>
      <c r="H7" s="8" t="n">
        <v>925</v>
      </c>
      <c r="I7" s="9">
        <f>IF(G7="","",G7*H7)</f>
        <v/>
      </c>
      <c r="J7" s="8" t="n">
        <v>0</v>
      </c>
      <c r="K7" s="5">
        <f>IF(G7="","",IF(F7="","","1 "&amp;F7&amp;" = "&amp;TEXT(G7,"#,##0")&amp;" "&amp;E7))</f>
        <v/>
      </c>
      <c r="L7" s="5" t="inlineStr">
        <is>
          <t>PDF: Packet Amount, carton qty nahi di</t>
        </is>
      </c>
    </row>
    <row r="8">
      <c r="A8" s="5" t="n">
        <v>2007</v>
      </c>
      <c r="B8" s="6" t="inlineStr">
        <is>
          <t>LP Series</t>
        </is>
      </c>
      <c r="C8" s="6" t="inlineStr">
        <is>
          <t>LP Series</t>
        </is>
      </c>
      <c r="D8" s="6" t="inlineStr">
        <is>
          <t>LP 14</t>
        </is>
      </c>
      <c r="E8" s="6" t="inlineStr">
        <is>
          <t>Packet</t>
        </is>
      </c>
      <c r="F8" s="6" t="n"/>
      <c r="G8" s="7" t="n"/>
      <c r="H8" s="8" t="n">
        <v>850</v>
      </c>
      <c r="I8" s="9">
        <f>IF(G8="","",G8*H8)</f>
        <v/>
      </c>
      <c r="J8" s="8" t="n">
        <v>0</v>
      </c>
      <c r="K8" s="5">
        <f>IF(G8="","",IF(F8="","","1 "&amp;F8&amp;" = "&amp;TEXT(G8,"#,##0")&amp;" "&amp;E8))</f>
        <v/>
      </c>
      <c r="L8" s="5" t="inlineStr">
        <is>
          <t>PDF: Packet Amount, carton qty nahi di</t>
        </is>
      </c>
    </row>
    <row r="9">
      <c r="A9" s="5" t="n">
        <v>2008</v>
      </c>
      <c r="B9" s="6" t="inlineStr">
        <is>
          <t>LP Series</t>
        </is>
      </c>
      <c r="C9" s="6" t="inlineStr">
        <is>
          <t>LP Series</t>
        </is>
      </c>
      <c r="D9" s="6" t="inlineStr">
        <is>
          <t>LP 14 Cut</t>
        </is>
      </c>
      <c r="E9" s="6" t="inlineStr">
        <is>
          <t>Packet</t>
        </is>
      </c>
      <c r="F9" s="6" t="n"/>
      <c r="G9" s="7" t="n"/>
      <c r="H9" s="8" t="n">
        <v>850</v>
      </c>
      <c r="I9" s="9">
        <f>IF(G9="","",G9*H9)</f>
        <v/>
      </c>
      <c r="J9" s="8" t="n">
        <v>0</v>
      </c>
      <c r="K9" s="5">
        <f>IF(G9="","",IF(F9="","","1 "&amp;F9&amp;" = "&amp;TEXT(G9,"#,##0")&amp;" "&amp;E9))</f>
        <v/>
      </c>
      <c r="L9" s="5" t="inlineStr">
        <is>
          <t>PDF: Packet Amount, carton qty nahi di</t>
        </is>
      </c>
    </row>
    <row r="10">
      <c r="A10" s="5" t="n">
        <v>2009</v>
      </c>
      <c r="B10" s="6" t="inlineStr">
        <is>
          <t>LP Series</t>
        </is>
      </c>
      <c r="C10" s="6" t="inlineStr">
        <is>
          <t>LP Series</t>
        </is>
      </c>
      <c r="D10" s="6" t="inlineStr">
        <is>
          <t>LP 15</t>
        </is>
      </c>
      <c r="E10" s="6" t="inlineStr">
        <is>
          <t>Packet</t>
        </is>
      </c>
      <c r="F10" s="6" t="n"/>
      <c r="G10" s="7" t="n"/>
      <c r="H10" s="8" t="n">
        <v>1220</v>
      </c>
      <c r="I10" s="9">
        <f>IF(G10="","",G10*H10)</f>
        <v/>
      </c>
      <c r="J10" s="8" t="n">
        <v>0</v>
      </c>
      <c r="K10" s="5">
        <f>IF(G10="","",IF(F10="","","1 "&amp;F10&amp;" = "&amp;TEXT(G10,"#,##0")&amp;" "&amp;E10))</f>
        <v/>
      </c>
      <c r="L10" s="5" t="inlineStr">
        <is>
          <t>PDF: Packet Amount, carton qty nahi di</t>
        </is>
      </c>
    </row>
    <row r="11">
      <c r="A11" s="5" t="n">
        <v>2010</v>
      </c>
      <c r="B11" s="6" t="inlineStr">
        <is>
          <t>LP Series</t>
        </is>
      </c>
      <c r="C11" s="6" t="inlineStr">
        <is>
          <t>LP Series</t>
        </is>
      </c>
      <c r="D11" s="6" t="inlineStr">
        <is>
          <t>LP 19</t>
        </is>
      </c>
      <c r="E11" s="6" t="inlineStr">
        <is>
          <t>Packet</t>
        </is>
      </c>
      <c r="F11" s="6" t="n"/>
      <c r="G11" s="7" t="n"/>
      <c r="H11" s="8" t="n">
        <v>1030</v>
      </c>
      <c r="I11" s="9">
        <f>IF(G11="","",G11*H11)</f>
        <v/>
      </c>
      <c r="J11" s="8" t="n">
        <v>0</v>
      </c>
      <c r="K11" s="5">
        <f>IF(G11="","",IF(F11="","","1 "&amp;F11&amp;" = "&amp;TEXT(G11,"#,##0")&amp;" "&amp;E11))</f>
        <v/>
      </c>
      <c r="L11" s="5" t="inlineStr">
        <is>
          <t>PDF: Packet Amount, carton qty nahi di</t>
        </is>
      </c>
    </row>
    <row r="12">
      <c r="A12" s="5" t="n">
        <v>2011</v>
      </c>
      <c r="B12" s="6" t="inlineStr">
        <is>
          <t>LP Series</t>
        </is>
      </c>
      <c r="C12" s="6" t="inlineStr">
        <is>
          <t>LP Series</t>
        </is>
      </c>
      <c r="D12" s="6" t="inlineStr">
        <is>
          <t>LP 24</t>
        </is>
      </c>
      <c r="E12" s="6" t="inlineStr">
        <is>
          <t>Packet</t>
        </is>
      </c>
      <c r="F12" s="6" t="n"/>
      <c r="G12" s="7" t="n"/>
      <c r="H12" s="8" t="n">
        <v>1230</v>
      </c>
      <c r="I12" s="9">
        <f>IF(G12="","",G12*H12)</f>
        <v/>
      </c>
      <c r="J12" s="8" t="n">
        <v>0</v>
      </c>
      <c r="K12" s="5">
        <f>IF(G12="","",IF(F12="","","1 "&amp;F12&amp;" = "&amp;TEXT(G12,"#,##0")&amp;" "&amp;E12))</f>
        <v/>
      </c>
      <c r="L12" s="5" t="inlineStr">
        <is>
          <t>PDF: Packet Amount, carton qty nahi di</t>
        </is>
      </c>
    </row>
    <row r="13">
      <c r="A13" s="5" t="n">
        <v>2012</v>
      </c>
      <c r="B13" s="6" t="inlineStr">
        <is>
          <t>LP Series</t>
        </is>
      </c>
      <c r="C13" s="6" t="inlineStr">
        <is>
          <t>LP Series</t>
        </is>
      </c>
      <c r="D13" s="6" t="inlineStr">
        <is>
          <t>LP 38</t>
        </is>
      </c>
      <c r="E13" s="6" t="inlineStr">
        <is>
          <t>Packet</t>
        </is>
      </c>
      <c r="F13" s="6" t="n"/>
      <c r="G13" s="7" t="n"/>
      <c r="H13" s="8" t="n">
        <v>450</v>
      </c>
      <c r="I13" s="9">
        <f>IF(G13="","",G13*H13)</f>
        <v/>
      </c>
      <c r="J13" s="8" t="n">
        <v>0</v>
      </c>
      <c r="K13" s="5">
        <f>IF(G13="","",IF(F13="","","1 "&amp;F13&amp;" = "&amp;TEXT(G13,"#,##0")&amp;" "&amp;E13))</f>
        <v/>
      </c>
      <c r="L13" s="5" t="inlineStr">
        <is>
          <t>PDF: Packet Amount, carton qty nahi di</t>
        </is>
      </c>
    </row>
    <row r="14">
      <c r="A14" s="5" t="n">
        <v>2013</v>
      </c>
      <c r="B14" s="6" t="inlineStr">
        <is>
          <t>Thermopile Cups</t>
        </is>
      </c>
      <c r="C14" s="6" t="inlineStr">
        <is>
          <t>Thermopile Cups</t>
        </is>
      </c>
      <c r="D14" s="6" t="inlineStr">
        <is>
          <t>Thermopile Cup Mega Pack</t>
        </is>
      </c>
      <c r="E14" s="6" t="inlineStr">
        <is>
          <t>PCS</t>
        </is>
      </c>
      <c r="F14" s="6" t="inlineStr">
        <is>
          <t>Carton</t>
        </is>
      </c>
      <c r="G14" s="7" t="n">
        <v>1000</v>
      </c>
      <c r="H14" s="8" t="n">
        <v>4</v>
      </c>
      <c r="I14" s="9">
        <f>IF(G14="","",G14*H14)</f>
        <v/>
      </c>
      <c r="J14" s="8" t="n">
        <v>0</v>
      </c>
      <c r="K14" s="5">
        <f>IF(G14="","",IF(F14="","","1 "&amp;F14&amp;" = "&amp;TEXT(G14,"#,##0")&amp;" "&amp;E14))</f>
        <v/>
      </c>
      <c r="L14" s="5" t="n"/>
    </row>
    <row r="15">
      <c r="A15" s="5" t="n">
        <v>2014</v>
      </c>
      <c r="B15" s="6" t="inlineStr">
        <is>
          <t>Thermopile Cups</t>
        </is>
      </c>
      <c r="C15" s="6" t="inlineStr">
        <is>
          <t>Thermopile Cups</t>
        </is>
      </c>
      <c r="D15" s="6" t="inlineStr">
        <is>
          <t>Thermopile Cup Sky</t>
        </is>
      </c>
      <c r="E15" s="6" t="inlineStr">
        <is>
          <t>PCS</t>
        </is>
      </c>
      <c r="F15" s="6" t="inlineStr">
        <is>
          <t>Carton</t>
        </is>
      </c>
      <c r="G15" s="7" t="n">
        <v>1000</v>
      </c>
      <c r="H15" s="8" t="n">
        <v>4</v>
      </c>
      <c r="I15" s="9">
        <f>IF(G15="","",G15*H15)</f>
        <v/>
      </c>
      <c r="J15" s="8" t="n">
        <v>0</v>
      </c>
      <c r="K15" s="5">
        <f>IF(G15="","",IF(F15="","","1 "&amp;F15&amp;" = "&amp;TEXT(G15,"#,##0")&amp;" "&amp;E15))</f>
        <v/>
      </c>
      <c r="L15" s="5" t="n"/>
    </row>
    <row r="16">
      <c r="A16" s="5" t="n">
        <v>2015</v>
      </c>
      <c r="B16" s="6" t="inlineStr">
        <is>
          <t>Thermopile Cups</t>
        </is>
      </c>
      <c r="C16" s="6" t="inlineStr">
        <is>
          <t>Thermopile Cups</t>
        </is>
      </c>
      <c r="D16" s="6" t="inlineStr">
        <is>
          <t>Thermopile Cup Hot and Cold</t>
        </is>
      </c>
      <c r="E16" s="6" t="inlineStr">
        <is>
          <t>PCS</t>
        </is>
      </c>
      <c r="F16" s="6" t="inlineStr">
        <is>
          <t>Carton</t>
        </is>
      </c>
      <c r="G16" s="7" t="n">
        <v>1000</v>
      </c>
      <c r="H16" s="8" t="n">
        <v>4</v>
      </c>
      <c r="I16" s="9">
        <f>IF(G16="","",G16*H16)</f>
        <v/>
      </c>
      <c r="J16" s="8" t="n">
        <v>0</v>
      </c>
      <c r="K16" s="5">
        <f>IF(G16="","",IF(F16="","","1 "&amp;F16&amp;" = "&amp;TEXT(G16,"#,##0")&amp;" "&amp;E16))</f>
        <v/>
      </c>
      <c r="L16" s="5" t="n"/>
    </row>
    <row r="17">
      <c r="A17" s="5" t="n">
        <v>2016</v>
      </c>
      <c r="B17" s="6" t="inlineStr">
        <is>
          <t>Paper Cups</t>
        </is>
      </c>
      <c r="C17" s="6" t="inlineStr">
        <is>
          <t>Paper Cups</t>
        </is>
      </c>
      <c r="D17" s="6" t="inlineStr">
        <is>
          <t>Paper Cup 2.5oz</t>
        </is>
      </c>
      <c r="E17" s="6" t="inlineStr">
        <is>
          <t>PCS</t>
        </is>
      </c>
      <c r="F17" s="6" t="inlineStr">
        <is>
          <t>Carton</t>
        </is>
      </c>
      <c r="G17" s="7" t="n">
        <v>2000</v>
      </c>
      <c r="H17" s="8" t="n">
        <v>2.5</v>
      </c>
      <c r="I17" s="9">
        <f>IF(G17="","",G17*H17)</f>
        <v/>
      </c>
      <c r="J17" s="8" t="n">
        <v>0</v>
      </c>
      <c r="K17" s="5">
        <f>IF(G17="","",IF(F17="","","1 "&amp;F17&amp;" = "&amp;TEXT(G17,"#,##0")&amp;" "&amp;E17))</f>
        <v/>
      </c>
      <c r="L17" s="5" t="n"/>
    </row>
    <row r="18">
      <c r="A18" s="5" t="n">
        <v>2017</v>
      </c>
      <c r="B18" s="6" t="inlineStr">
        <is>
          <t>Paper Cups</t>
        </is>
      </c>
      <c r="C18" s="6" t="inlineStr">
        <is>
          <t>Paper Cups</t>
        </is>
      </c>
      <c r="D18" s="6" t="inlineStr">
        <is>
          <t>Paper Cup Imported 4oz</t>
        </is>
      </c>
      <c r="E18" s="6" t="inlineStr">
        <is>
          <t>PCS</t>
        </is>
      </c>
      <c r="F18" s="6" t="inlineStr">
        <is>
          <t>Carton</t>
        </is>
      </c>
      <c r="G18" s="7" t="n">
        <v>2000</v>
      </c>
      <c r="H18" s="8" t="n">
        <v>2</v>
      </c>
      <c r="I18" s="9">
        <f>IF(G18="","",G18*H18)</f>
        <v/>
      </c>
      <c r="J18" s="8" t="n">
        <v>0</v>
      </c>
      <c r="K18" s="5">
        <f>IF(G18="","",IF(F18="","","1 "&amp;F18&amp;" = "&amp;TEXT(G18,"#,##0")&amp;" "&amp;E18))</f>
        <v/>
      </c>
      <c r="L18" s="5" t="n"/>
    </row>
    <row r="19">
      <c r="A19" s="5" t="n">
        <v>2018</v>
      </c>
      <c r="B19" s="6" t="inlineStr">
        <is>
          <t>Paper Cups</t>
        </is>
      </c>
      <c r="C19" s="6" t="inlineStr">
        <is>
          <t>Paper Cups</t>
        </is>
      </c>
      <c r="D19" s="6" t="inlineStr">
        <is>
          <t>Paper Cup Local Pearl Pack 7oz</t>
        </is>
      </c>
      <c r="E19" s="6" t="inlineStr">
        <is>
          <t>PCS</t>
        </is>
      </c>
      <c r="F19" s="6" t="inlineStr">
        <is>
          <t>Carton</t>
        </is>
      </c>
      <c r="G19" s="7" t="n">
        <v>2000</v>
      </c>
      <c r="H19" s="8" t="n">
        <v>2.5</v>
      </c>
      <c r="I19" s="9">
        <f>IF(G19="","",G19*H19)</f>
        <v/>
      </c>
      <c r="J19" s="8" t="n">
        <v>0</v>
      </c>
      <c r="K19" s="5">
        <f>IF(G19="","",IF(F19="","","1 "&amp;F19&amp;" = "&amp;TEXT(G19,"#,##0")&amp;" "&amp;E19))</f>
        <v/>
      </c>
      <c r="L19" s="5" t="n"/>
    </row>
    <row r="20">
      <c r="A20" s="5" t="n">
        <v>2019</v>
      </c>
      <c r="B20" s="6" t="inlineStr">
        <is>
          <t>Paper Cups</t>
        </is>
      </c>
      <c r="C20" s="6" t="inlineStr">
        <is>
          <t>Paper Cups</t>
        </is>
      </c>
      <c r="D20" s="6" t="inlineStr">
        <is>
          <t>Paper Cup Local Vork 7oz</t>
        </is>
      </c>
      <c r="E20" s="6" t="inlineStr">
        <is>
          <t>PCS</t>
        </is>
      </c>
      <c r="F20" s="6" t="inlineStr">
        <is>
          <t>Carton</t>
        </is>
      </c>
      <c r="G20" s="7" t="n">
        <v>2000</v>
      </c>
      <c r="H20" s="8" t="n">
        <v>2.5</v>
      </c>
      <c r="I20" s="9">
        <f>IF(G20="","",G20*H20)</f>
        <v/>
      </c>
      <c r="J20" s="8" t="n">
        <v>0</v>
      </c>
      <c r="K20" s="5">
        <f>IF(G20="","",IF(F20="","","1 "&amp;F20&amp;" = "&amp;TEXT(G20,"#,##0")&amp;" "&amp;E20))</f>
        <v/>
      </c>
      <c r="L20" s="5" t="n"/>
    </row>
    <row r="21">
      <c r="A21" s="5" t="n">
        <v>2020</v>
      </c>
      <c r="B21" s="6" t="inlineStr">
        <is>
          <t>Paper Cups</t>
        </is>
      </c>
      <c r="C21" s="6" t="inlineStr">
        <is>
          <t>Paper Cups</t>
        </is>
      </c>
      <c r="D21" s="6" t="inlineStr">
        <is>
          <t>Paper Cup Local Vork 5oz</t>
        </is>
      </c>
      <c r="E21" s="6" t="inlineStr">
        <is>
          <t>PCS</t>
        </is>
      </c>
      <c r="F21" s="6" t="inlineStr">
        <is>
          <t>Carton</t>
        </is>
      </c>
      <c r="G21" s="7" t="n">
        <v>2000</v>
      </c>
      <c r="H21" s="8" t="n">
        <v>2.3</v>
      </c>
      <c r="I21" s="9">
        <f>IF(G21="","",G21*H21)</f>
        <v/>
      </c>
      <c r="J21" s="8" t="n">
        <v>0</v>
      </c>
      <c r="K21" s="5">
        <f>IF(G21="","",IF(F21="","","1 "&amp;F21&amp;" = "&amp;TEXT(G21,"#,##0")&amp;" "&amp;E21))</f>
        <v/>
      </c>
      <c r="L21" s="5" t="n"/>
    </row>
    <row r="22">
      <c r="A22" s="5" t="n">
        <v>2021</v>
      </c>
      <c r="B22" s="6" t="inlineStr">
        <is>
          <t>Paper Cups</t>
        </is>
      </c>
      <c r="C22" s="6" t="inlineStr">
        <is>
          <t>Paper Cups</t>
        </is>
      </c>
      <c r="D22" s="6" t="inlineStr">
        <is>
          <t>Paper Cup Local Pearl Pack 5oz</t>
        </is>
      </c>
      <c r="E22" s="6" t="inlineStr">
        <is>
          <t>PCS</t>
        </is>
      </c>
      <c r="F22" s="6" t="inlineStr">
        <is>
          <t>Carton</t>
        </is>
      </c>
      <c r="G22" s="7" t="n">
        <v>2000</v>
      </c>
      <c r="H22" s="8" t="n">
        <v>2.3</v>
      </c>
      <c r="I22" s="9">
        <f>IF(G22="","",G22*H22)</f>
        <v/>
      </c>
      <c r="J22" s="8" t="n">
        <v>0</v>
      </c>
      <c r="K22" s="5">
        <f>IF(G22="","",IF(F22="","","1 "&amp;F22&amp;" = "&amp;TEXT(G22,"#,##0")&amp;" "&amp;E22))</f>
        <v/>
      </c>
      <c r="L22" s="5" t="n"/>
    </row>
    <row r="23">
      <c r="A23" s="5" t="n">
        <v>2022</v>
      </c>
      <c r="B23" s="6" t="inlineStr">
        <is>
          <t>Paper Cups</t>
        </is>
      </c>
      <c r="C23" s="6" t="inlineStr">
        <is>
          <t>Paper Cups</t>
        </is>
      </c>
      <c r="D23" s="6" t="inlineStr">
        <is>
          <t>Paper Cup Local EZY 5oz</t>
        </is>
      </c>
      <c r="E23" s="6" t="inlineStr">
        <is>
          <t>PCS</t>
        </is>
      </c>
      <c r="F23" s="6" t="inlineStr">
        <is>
          <t>Carton</t>
        </is>
      </c>
      <c r="G23" s="7" t="n">
        <v>2000</v>
      </c>
      <c r="H23" s="8" t="n">
        <v>2.3</v>
      </c>
      <c r="I23" s="9">
        <f>IF(G23="","",G23*H23)</f>
        <v/>
      </c>
      <c r="J23" s="8" t="n">
        <v>0</v>
      </c>
      <c r="K23" s="5">
        <f>IF(G23="","",IF(F23="","","1 "&amp;F23&amp;" = "&amp;TEXT(G23,"#,##0")&amp;" "&amp;E23))</f>
        <v/>
      </c>
      <c r="L23" s="5" t="n"/>
    </row>
    <row r="24">
      <c r="A24" s="5" t="n">
        <v>2023</v>
      </c>
      <c r="B24" s="6" t="inlineStr">
        <is>
          <t>Paper Cups</t>
        </is>
      </c>
      <c r="C24" s="6" t="inlineStr">
        <is>
          <t>Paper Cups</t>
        </is>
      </c>
      <c r="D24" s="6" t="inlineStr">
        <is>
          <t>Paper Cup Imported 5oz</t>
        </is>
      </c>
      <c r="E24" s="6" t="inlineStr">
        <is>
          <t>PCS</t>
        </is>
      </c>
      <c r="F24" s="6" t="inlineStr">
        <is>
          <t>Carton</t>
        </is>
      </c>
      <c r="G24" s="7" t="n">
        <v>2000</v>
      </c>
      <c r="H24" s="8" t="n">
        <v>2.3</v>
      </c>
      <c r="I24" s="9">
        <f>IF(G24="","",G24*H24)</f>
        <v/>
      </c>
      <c r="J24" s="8" t="n">
        <v>0</v>
      </c>
      <c r="K24" s="5">
        <f>IF(G24="","",IF(F24="","","1 "&amp;F24&amp;" = "&amp;TEXT(G24,"#,##0")&amp;" "&amp;E24))</f>
        <v/>
      </c>
      <c r="L24" s="5" t="n"/>
    </row>
    <row r="25">
      <c r="A25" s="5" t="n">
        <v>2024</v>
      </c>
      <c r="B25" s="6" t="inlineStr">
        <is>
          <t>Paper Cups</t>
        </is>
      </c>
      <c r="C25" s="6" t="inlineStr">
        <is>
          <t>Paper Cups</t>
        </is>
      </c>
      <c r="D25" s="6" t="inlineStr">
        <is>
          <t>Handle Paper Cup Imported 7oz</t>
        </is>
      </c>
      <c r="E25" s="6" t="inlineStr">
        <is>
          <t>PCS</t>
        </is>
      </c>
      <c r="F25" s="6" t="inlineStr">
        <is>
          <t>Carton</t>
        </is>
      </c>
      <c r="G25" s="7" t="n">
        <v>2000</v>
      </c>
      <c r="H25" s="8" t="n">
        <v>3.5</v>
      </c>
      <c r="I25" s="9">
        <f>IF(G25="","",G25*H25)</f>
        <v/>
      </c>
      <c r="J25" s="8" t="n">
        <v>0</v>
      </c>
      <c r="K25" s="5">
        <f>IF(G25="","",IF(F25="","","1 "&amp;F25&amp;" = "&amp;TEXT(G25,"#,##0")&amp;" "&amp;E25))</f>
        <v/>
      </c>
      <c r="L25" s="5" t="n"/>
    </row>
    <row r="26">
      <c r="A26" s="5" t="n">
        <v>2025</v>
      </c>
      <c r="B26" s="6" t="inlineStr">
        <is>
          <t>Paper Cups</t>
        </is>
      </c>
      <c r="C26" s="6" t="inlineStr">
        <is>
          <t>Paper Cups</t>
        </is>
      </c>
      <c r="D26" s="6" t="inlineStr">
        <is>
          <t>Handle Paper Cup Local Waraq 7oz</t>
        </is>
      </c>
      <c r="E26" s="6" t="inlineStr">
        <is>
          <t>PCS</t>
        </is>
      </c>
      <c r="F26" s="6" t="inlineStr">
        <is>
          <t>Carton</t>
        </is>
      </c>
      <c r="G26" s="7" t="n">
        <v>2000</v>
      </c>
      <c r="H26" s="8" t="n">
        <v>3.5</v>
      </c>
      <c r="I26" s="9">
        <f>IF(G26="","",G26*H26)</f>
        <v/>
      </c>
      <c r="J26" s="8" t="n">
        <v>0</v>
      </c>
      <c r="K26" s="5">
        <f>IF(G26="","",IF(F26="","","1 "&amp;F26&amp;" = "&amp;TEXT(G26,"#,##0")&amp;" "&amp;E26))</f>
        <v/>
      </c>
      <c r="L26" s="5" t="n"/>
    </row>
    <row r="27">
      <c r="A27" s="5" t="n">
        <v>2026</v>
      </c>
      <c r="B27" s="6" t="inlineStr">
        <is>
          <t>Paper Cups</t>
        </is>
      </c>
      <c r="C27" s="6" t="inlineStr">
        <is>
          <t>Fries Bowl</t>
        </is>
      </c>
      <c r="D27" s="6" t="inlineStr">
        <is>
          <t>250ml Fries Bowl</t>
        </is>
      </c>
      <c r="E27" s="6" t="inlineStr">
        <is>
          <t>PCS</t>
        </is>
      </c>
      <c r="F27" s="6" t="inlineStr">
        <is>
          <t>Carton</t>
        </is>
      </c>
      <c r="G27" s="7" t="n">
        <v>1500</v>
      </c>
      <c r="H27" s="8" t="n">
        <v>8</v>
      </c>
      <c r="I27" s="9">
        <f>IF(G27="","",G27*H27)</f>
        <v/>
      </c>
      <c r="J27" s="8" t="n">
        <v>0</v>
      </c>
      <c r="K27" s="5">
        <f>IF(G27="","",IF(F27="","","1 "&amp;F27&amp;" = "&amp;TEXT(G27,"#,##0")&amp;" "&amp;E27))</f>
        <v/>
      </c>
      <c r="L27" s="5" t="n"/>
    </row>
    <row r="28">
      <c r="A28" s="5" t="n">
        <v>2027</v>
      </c>
      <c r="B28" s="6" t="inlineStr">
        <is>
          <t>Paper Cups</t>
        </is>
      </c>
      <c r="C28" s="6" t="inlineStr">
        <is>
          <t>Fries Bowl</t>
        </is>
      </c>
      <c r="D28" s="6" t="inlineStr">
        <is>
          <t>300ml Fries Bowl</t>
        </is>
      </c>
      <c r="E28" s="6" t="inlineStr">
        <is>
          <t>PCS</t>
        </is>
      </c>
      <c r="F28" s="6" t="inlineStr">
        <is>
          <t>Carton</t>
        </is>
      </c>
      <c r="G28" s="7" t="n">
        <v>1500</v>
      </c>
      <c r="H28" s="8" t="n">
        <v>9</v>
      </c>
      <c r="I28" s="9">
        <f>IF(G28="","",G28*H28)</f>
        <v/>
      </c>
      <c r="J28" s="8" t="n">
        <v>0</v>
      </c>
      <c r="K28" s="5">
        <f>IF(G28="","",IF(F28="","","1 "&amp;F28&amp;" = "&amp;TEXT(G28,"#,##0")&amp;" "&amp;E28))</f>
        <v/>
      </c>
      <c r="L28" s="5" t="n"/>
    </row>
    <row r="29">
      <c r="A29" s="5" t="n">
        <v>2028</v>
      </c>
      <c r="B29" s="6" t="inlineStr">
        <is>
          <t>Paper Cups</t>
        </is>
      </c>
      <c r="C29" s="6" t="inlineStr">
        <is>
          <t>Fries Bowl</t>
        </is>
      </c>
      <c r="D29" s="6" t="inlineStr">
        <is>
          <t>400ml Fries Bowl</t>
        </is>
      </c>
      <c r="E29" s="6" t="inlineStr">
        <is>
          <t>PCS</t>
        </is>
      </c>
      <c r="F29" s="6" t="inlineStr">
        <is>
          <t>Carton</t>
        </is>
      </c>
      <c r="G29" s="7" t="n">
        <v>1500</v>
      </c>
      <c r="H29" s="8" t="n">
        <v>10</v>
      </c>
      <c r="I29" s="9">
        <f>IF(G29="","",G29*H29)</f>
        <v/>
      </c>
      <c r="J29" s="8" t="n">
        <v>0</v>
      </c>
      <c r="K29" s="5">
        <f>IF(G29="","",IF(F29="","","1 "&amp;F29&amp;" = "&amp;TEXT(G29,"#,##0")&amp;" "&amp;E29))</f>
        <v/>
      </c>
      <c r="L29" s="5" t="n"/>
    </row>
    <row r="30">
      <c r="A30" s="5" t="n">
        <v>2029</v>
      </c>
      <c r="B30" s="6" t="inlineStr">
        <is>
          <t>Paper Cups</t>
        </is>
      </c>
      <c r="C30" s="6" t="inlineStr">
        <is>
          <t>Ice Cream Cup</t>
        </is>
      </c>
      <c r="D30" s="6" t="inlineStr">
        <is>
          <t>60ml Ice Cream Cup</t>
        </is>
      </c>
      <c r="E30" s="6" t="inlineStr">
        <is>
          <t>PCS</t>
        </is>
      </c>
      <c r="F30" s="6" t="inlineStr">
        <is>
          <t>Carton</t>
        </is>
      </c>
      <c r="G30" s="7" t="n">
        <v>2000</v>
      </c>
      <c r="H30" s="8" t="n">
        <v>2.3</v>
      </c>
      <c r="I30" s="9">
        <f>IF(G30="","",G30*H30)</f>
        <v/>
      </c>
      <c r="J30" s="8" t="n">
        <v>0</v>
      </c>
      <c r="K30" s="5">
        <f>IF(G30="","",IF(F30="","","1 "&amp;F30&amp;" = "&amp;TEXT(G30,"#,##0")&amp;" "&amp;E30))</f>
        <v/>
      </c>
      <c r="L30" s="5" t="n"/>
    </row>
    <row r="31">
      <c r="A31" s="5" t="n">
        <v>2030</v>
      </c>
      <c r="B31" s="6" t="inlineStr">
        <is>
          <t>Paper Cups</t>
        </is>
      </c>
      <c r="C31" s="6" t="inlineStr">
        <is>
          <t>Ice Cream Cup</t>
        </is>
      </c>
      <c r="D31" s="6" t="inlineStr">
        <is>
          <t>70ml Ice Cream Cup</t>
        </is>
      </c>
      <c r="E31" s="6" t="inlineStr">
        <is>
          <t>PCS</t>
        </is>
      </c>
      <c r="F31" s="6" t="inlineStr">
        <is>
          <t>Carton</t>
        </is>
      </c>
      <c r="G31" s="7" t="n">
        <v>2000</v>
      </c>
      <c r="H31" s="8" t="n">
        <v>2.3</v>
      </c>
      <c r="I31" s="9">
        <f>IF(G31="","",G31*H31)</f>
        <v/>
      </c>
      <c r="J31" s="8" t="n">
        <v>0</v>
      </c>
      <c r="K31" s="5">
        <f>IF(G31="","",IF(F31="","","1 "&amp;F31&amp;" = "&amp;TEXT(G31,"#,##0")&amp;" "&amp;E31))</f>
        <v/>
      </c>
      <c r="L31" s="5" t="n"/>
    </row>
    <row r="32">
      <c r="A32" s="5" t="n">
        <v>2031</v>
      </c>
      <c r="B32" s="6" t="inlineStr">
        <is>
          <t>Paper Cups</t>
        </is>
      </c>
      <c r="C32" s="6" t="inlineStr">
        <is>
          <t>Coffee Cup</t>
        </is>
      </c>
      <c r="D32" s="6" t="inlineStr">
        <is>
          <t>06oz Coffee Cup Vork</t>
        </is>
      </c>
      <c r="E32" s="6" t="inlineStr">
        <is>
          <t>PCS</t>
        </is>
      </c>
      <c r="F32" s="6" t="inlineStr">
        <is>
          <t>Carton</t>
        </is>
      </c>
      <c r="G32" s="7" t="n">
        <v>1500</v>
      </c>
      <c r="H32" s="8" t="n">
        <v>6</v>
      </c>
      <c r="I32" s="9">
        <f>IF(G32="","",G32*H32)</f>
        <v/>
      </c>
      <c r="J32" s="8" t="n">
        <v>0</v>
      </c>
      <c r="K32" s="5">
        <f>IF(G32="","",IF(F32="","","1 "&amp;F32&amp;" = "&amp;TEXT(G32,"#,##0")&amp;" "&amp;E32))</f>
        <v/>
      </c>
      <c r="L32" s="5" t="n"/>
    </row>
    <row r="33">
      <c r="A33" s="5" t="n">
        <v>2032</v>
      </c>
      <c r="B33" s="6" t="inlineStr">
        <is>
          <t>Paper Cups</t>
        </is>
      </c>
      <c r="C33" s="6" t="inlineStr">
        <is>
          <t>Coffee Cup</t>
        </is>
      </c>
      <c r="D33" s="6" t="inlineStr">
        <is>
          <t>06oz Coffee Cup Delta Pack</t>
        </is>
      </c>
      <c r="E33" s="6" t="inlineStr">
        <is>
          <t>PCS</t>
        </is>
      </c>
      <c r="F33" s="6" t="inlineStr">
        <is>
          <t>Carton</t>
        </is>
      </c>
      <c r="G33" s="7" t="n">
        <v>1000</v>
      </c>
      <c r="H33" s="8" t="n">
        <v>7</v>
      </c>
      <c r="I33" s="9">
        <f>IF(G33="","",G33*H33)</f>
        <v/>
      </c>
      <c r="J33" s="8" t="n">
        <v>0</v>
      </c>
      <c r="K33" s="5">
        <f>IF(G33="","",IF(F33="","","1 "&amp;F33&amp;" = "&amp;TEXT(G33,"#,##0")&amp;" "&amp;E33))</f>
        <v/>
      </c>
      <c r="L33" s="5" t="n"/>
    </row>
    <row r="34">
      <c r="A34" s="5" t="n">
        <v>2033</v>
      </c>
      <c r="B34" s="6" t="inlineStr">
        <is>
          <t>Paper Cups</t>
        </is>
      </c>
      <c r="C34" s="6" t="inlineStr">
        <is>
          <t>Coffee Cup</t>
        </is>
      </c>
      <c r="D34" s="6" t="inlineStr">
        <is>
          <t>06oz Coffee Cup Repride</t>
        </is>
      </c>
      <c r="E34" s="6" t="inlineStr">
        <is>
          <t>PCS</t>
        </is>
      </c>
      <c r="F34" s="6" t="inlineStr">
        <is>
          <t>Carton</t>
        </is>
      </c>
      <c r="G34" s="7" t="n">
        <v>1000</v>
      </c>
      <c r="H34" s="8" t="n">
        <v>7</v>
      </c>
      <c r="I34" s="9">
        <f>IF(G34="","",G34*H34)</f>
        <v/>
      </c>
      <c r="J34" s="8" t="n">
        <v>0</v>
      </c>
      <c r="K34" s="5">
        <f>IF(G34="","",IF(F34="","","1 "&amp;F34&amp;" = "&amp;TEXT(G34,"#,##0")&amp;" "&amp;E34))</f>
        <v/>
      </c>
      <c r="L34" s="5" t="n"/>
    </row>
    <row r="35">
      <c r="A35" s="5" t="n">
        <v>2034</v>
      </c>
      <c r="B35" s="6" t="inlineStr">
        <is>
          <t>Paper Cups</t>
        </is>
      </c>
      <c r="C35" s="6" t="inlineStr">
        <is>
          <t>Coffee Cup</t>
        </is>
      </c>
      <c r="D35" s="6" t="inlineStr">
        <is>
          <t>08oz Coffee Cup Yellow</t>
        </is>
      </c>
      <c r="E35" s="6" t="inlineStr">
        <is>
          <t>PCS</t>
        </is>
      </c>
      <c r="F35" s="6" t="inlineStr">
        <is>
          <t>Carton</t>
        </is>
      </c>
      <c r="G35" s="7" t="n">
        <v>500</v>
      </c>
      <c r="H35" s="8" t="n">
        <v>9</v>
      </c>
      <c r="I35" s="9">
        <f>IF(G35="","",G35*H35)</f>
        <v/>
      </c>
      <c r="J35" s="8" t="n">
        <v>0</v>
      </c>
      <c r="K35" s="5">
        <f>IF(G35="","",IF(F35="","","1 "&amp;F35&amp;" = "&amp;TEXT(G35,"#,##0")&amp;" "&amp;E35))</f>
        <v/>
      </c>
      <c r="L35" s="5" t="n"/>
    </row>
    <row r="36">
      <c r="A36" s="5" t="n">
        <v>2035</v>
      </c>
      <c r="B36" s="6" t="inlineStr">
        <is>
          <t>Paper Cups</t>
        </is>
      </c>
      <c r="C36" s="6" t="inlineStr">
        <is>
          <t>Coffee Cup</t>
        </is>
      </c>
      <c r="D36" s="6" t="inlineStr">
        <is>
          <t>08oz Coffee Cup Brown</t>
        </is>
      </c>
      <c r="E36" s="6" t="inlineStr">
        <is>
          <t>PCS</t>
        </is>
      </c>
      <c r="F36" s="6" t="inlineStr">
        <is>
          <t>Carton</t>
        </is>
      </c>
      <c r="G36" s="7" t="n">
        <v>500</v>
      </c>
      <c r="H36" s="8" t="n">
        <v>8</v>
      </c>
      <c r="I36" s="9">
        <f>IF(G36="","",G36*H36)</f>
        <v/>
      </c>
      <c r="J36" s="8" t="n">
        <v>0</v>
      </c>
      <c r="K36" s="5">
        <f>IF(G36="","",IF(F36="","","1 "&amp;F36&amp;" = "&amp;TEXT(G36,"#,##0")&amp;" "&amp;E36))</f>
        <v/>
      </c>
      <c r="L36" s="5" t="n"/>
    </row>
    <row r="37">
      <c r="A37" s="5" t="n">
        <v>2036</v>
      </c>
      <c r="B37" s="6" t="inlineStr">
        <is>
          <t>Paper Cups</t>
        </is>
      </c>
      <c r="C37" s="6" t="inlineStr">
        <is>
          <t>Coffee Cup</t>
        </is>
      </c>
      <c r="D37" s="6" t="inlineStr">
        <is>
          <t>08oz Coffee Cup Imported</t>
        </is>
      </c>
      <c r="E37" s="6" t="inlineStr">
        <is>
          <t>PCS</t>
        </is>
      </c>
      <c r="F37" s="6" t="inlineStr">
        <is>
          <t>Carton</t>
        </is>
      </c>
      <c r="G37" s="7" t="n">
        <v>500</v>
      </c>
      <c r="H37" s="8" t="n">
        <v>12.5</v>
      </c>
      <c r="I37" s="9">
        <f>IF(G37="","",G37*H37)</f>
        <v/>
      </c>
      <c r="J37" s="8" t="n">
        <v>0</v>
      </c>
      <c r="K37" s="5">
        <f>IF(G37="","",IF(F37="","","1 "&amp;F37&amp;" = "&amp;TEXT(G37,"#,##0")&amp;" "&amp;E37))</f>
        <v/>
      </c>
      <c r="L37" s="5" t="n"/>
    </row>
    <row r="38">
      <c r="A38" s="5" t="n">
        <v>2037</v>
      </c>
      <c r="B38" s="6" t="inlineStr">
        <is>
          <t>Paper Cups</t>
        </is>
      </c>
      <c r="C38" s="6" t="inlineStr">
        <is>
          <t>Coffee Cup</t>
        </is>
      </c>
      <c r="D38" s="6" t="inlineStr">
        <is>
          <t>08oz Coffee Cup Easy</t>
        </is>
      </c>
      <c r="E38" s="6" t="inlineStr">
        <is>
          <t>PCS</t>
        </is>
      </c>
      <c r="F38" s="6" t="inlineStr">
        <is>
          <t>Carton</t>
        </is>
      </c>
      <c r="G38" s="7" t="n">
        <v>500</v>
      </c>
      <c r="H38" s="8" t="n">
        <v>9</v>
      </c>
      <c r="I38" s="9">
        <f>IF(G38="","",G38*H38)</f>
        <v/>
      </c>
      <c r="J38" s="8" t="n">
        <v>0</v>
      </c>
      <c r="K38" s="5">
        <f>IF(G38="","",IF(F38="","","1 "&amp;F38&amp;" = "&amp;TEXT(G38,"#,##0")&amp;" "&amp;E38))</f>
        <v/>
      </c>
      <c r="L38" s="5" t="n"/>
    </row>
    <row r="39">
      <c r="A39" s="5" t="n">
        <v>2038</v>
      </c>
      <c r="B39" s="6" t="inlineStr">
        <is>
          <t>Paper Cups</t>
        </is>
      </c>
      <c r="C39" s="6" t="inlineStr">
        <is>
          <t>Coffee Lid</t>
        </is>
      </c>
      <c r="D39" s="6" t="inlineStr">
        <is>
          <t>06oz Coffee Lid</t>
        </is>
      </c>
      <c r="E39" s="6" t="inlineStr">
        <is>
          <t>PCS</t>
        </is>
      </c>
      <c r="F39" s="6" t="inlineStr">
        <is>
          <t>Carton</t>
        </is>
      </c>
      <c r="G39" s="7" t="n">
        <v>2000</v>
      </c>
      <c r="H39" s="8" t="n">
        <v>1.5</v>
      </c>
      <c r="I39" s="9">
        <f>IF(G39="","",G39*H39)</f>
        <v/>
      </c>
      <c r="J39" s="8" t="n">
        <v>0</v>
      </c>
      <c r="K39" s="5">
        <f>IF(G39="","",IF(F39="","","1 "&amp;F39&amp;" = "&amp;TEXT(G39,"#,##0")&amp;" "&amp;E39))</f>
        <v/>
      </c>
      <c r="L39" s="5" t="n"/>
    </row>
    <row r="40">
      <c r="A40" s="5" t="n">
        <v>2039</v>
      </c>
      <c r="B40" s="6" t="inlineStr">
        <is>
          <t>Paper Cups</t>
        </is>
      </c>
      <c r="C40" s="6" t="inlineStr">
        <is>
          <t>Coffee Lid</t>
        </is>
      </c>
      <c r="D40" s="6" t="inlineStr">
        <is>
          <t>08oz Coffee Lid</t>
        </is>
      </c>
      <c r="E40" s="6" t="inlineStr">
        <is>
          <t>PCS</t>
        </is>
      </c>
      <c r="F40" s="6" t="inlineStr">
        <is>
          <t>Carton</t>
        </is>
      </c>
      <c r="G40" s="7" t="n">
        <v>3000</v>
      </c>
      <c r="H40" s="8" t="n">
        <v>2</v>
      </c>
      <c r="I40" s="9">
        <f>IF(G40="","",G40*H40)</f>
        <v/>
      </c>
      <c r="J40" s="8" t="n">
        <v>0</v>
      </c>
      <c r="K40" s="5">
        <f>IF(G40="","",IF(F40="","","1 "&amp;F40&amp;" = "&amp;TEXT(G40,"#,##0")&amp;" "&amp;E40))</f>
        <v/>
      </c>
      <c r="L40" s="5" t="n"/>
    </row>
    <row r="41">
      <c r="A41" s="5" t="n">
        <v>2040</v>
      </c>
      <c r="B41" s="6" t="inlineStr">
        <is>
          <t>Plastic Cups</t>
        </is>
      </c>
      <c r="C41" s="6" t="inlineStr">
        <is>
          <t>80ml and 125ml</t>
        </is>
      </c>
      <c r="D41" s="6" t="inlineStr">
        <is>
          <t>80ml Sarina</t>
        </is>
      </c>
      <c r="E41" s="6" t="inlineStr">
        <is>
          <t>PCS</t>
        </is>
      </c>
      <c r="F41" s="6" t="inlineStr">
        <is>
          <t>Carton</t>
        </is>
      </c>
      <c r="G41" s="7" t="n">
        <v>2000</v>
      </c>
      <c r="H41" s="8" t="n">
        <v>2.5</v>
      </c>
      <c r="I41" s="9">
        <f>IF(G41="","",G41*H41)</f>
        <v/>
      </c>
      <c r="J41" s="8" t="n">
        <v>0</v>
      </c>
      <c r="K41" s="5">
        <f>IF(G41="","",IF(F41="","","1 "&amp;F41&amp;" = "&amp;TEXT(G41,"#,##0")&amp;" "&amp;E41))</f>
        <v/>
      </c>
      <c r="L41" s="5" t="n"/>
    </row>
    <row r="42">
      <c r="A42" s="5" t="n">
        <v>2041</v>
      </c>
      <c r="B42" s="6" t="inlineStr">
        <is>
          <t>Plastic Cups</t>
        </is>
      </c>
      <c r="C42" s="6" t="inlineStr">
        <is>
          <t>80ml and 125ml</t>
        </is>
      </c>
      <c r="D42" s="6" t="inlineStr">
        <is>
          <t>80ml Sarina Lid</t>
        </is>
      </c>
      <c r="E42" s="6" t="inlineStr">
        <is>
          <t>PCS</t>
        </is>
      </c>
      <c r="F42" s="6" t="inlineStr">
        <is>
          <t>Carton</t>
        </is>
      </c>
      <c r="G42" s="7" t="n">
        <v>2000</v>
      </c>
      <c r="H42" s="8" t="n">
        <v>1.5</v>
      </c>
      <c r="I42" s="9">
        <f>IF(G42="","",G42*H42)</f>
        <v/>
      </c>
      <c r="J42" s="8" t="n">
        <v>0</v>
      </c>
      <c r="K42" s="5">
        <f>IF(G42="","",IF(F42="","","1 "&amp;F42&amp;" = "&amp;TEXT(G42,"#,##0")&amp;" "&amp;E42))</f>
        <v/>
      </c>
      <c r="L42" s="5" t="n"/>
    </row>
    <row r="43">
      <c r="A43" s="5" t="n">
        <v>2042</v>
      </c>
      <c r="B43" s="6" t="inlineStr">
        <is>
          <t>Plastic Cups</t>
        </is>
      </c>
      <c r="C43" s="6" t="inlineStr">
        <is>
          <t>80ml and 125ml</t>
        </is>
      </c>
      <c r="D43" s="6" t="inlineStr">
        <is>
          <t>80ml Nice Pack</t>
        </is>
      </c>
      <c r="E43" s="6" t="inlineStr">
        <is>
          <t>PCS</t>
        </is>
      </c>
      <c r="F43" s="6" t="inlineStr">
        <is>
          <t>Carton</t>
        </is>
      </c>
      <c r="G43" s="7" t="n">
        <v>4000</v>
      </c>
      <c r="H43" s="8" t="n">
        <v>2.5</v>
      </c>
      <c r="I43" s="9">
        <f>IF(G43="","",G43*H43)</f>
        <v/>
      </c>
      <c r="J43" s="8" t="n">
        <v>0</v>
      </c>
      <c r="K43" s="5">
        <f>IF(G43="","",IF(F43="","","1 "&amp;F43&amp;" = "&amp;TEXT(G43,"#,##0")&amp;" "&amp;E43))</f>
        <v/>
      </c>
      <c r="L43" s="5" t="n"/>
    </row>
    <row r="44">
      <c r="A44" s="5" t="n">
        <v>2043</v>
      </c>
      <c r="B44" s="6" t="inlineStr">
        <is>
          <t>Plastic Cups</t>
        </is>
      </c>
      <c r="C44" s="6" t="inlineStr">
        <is>
          <t>80ml and 125ml</t>
        </is>
      </c>
      <c r="D44" s="6" t="inlineStr">
        <is>
          <t>80ml and 125ml Nice Pack Lid</t>
        </is>
      </c>
      <c r="E44" s="6" t="inlineStr">
        <is>
          <t>PCS</t>
        </is>
      </c>
      <c r="F44" s="6" t="inlineStr">
        <is>
          <t>Carton</t>
        </is>
      </c>
      <c r="G44" s="7" t="n">
        <v>4000</v>
      </c>
      <c r="H44" s="8" t="n">
        <v>1.5</v>
      </c>
      <c r="I44" s="9">
        <f>IF(G44="","",G44*H44)</f>
        <v/>
      </c>
      <c r="J44" s="8" t="n">
        <v>0</v>
      </c>
      <c r="K44" s="5">
        <f>IF(G44="","",IF(F44="","","1 "&amp;F44&amp;" = "&amp;TEXT(G44,"#,##0")&amp;" "&amp;E44))</f>
        <v/>
      </c>
      <c r="L44" s="5" t="n"/>
    </row>
    <row r="45">
      <c r="A45" s="5" t="n">
        <v>2044</v>
      </c>
      <c r="B45" s="6" t="inlineStr">
        <is>
          <t>Plastic Cups</t>
        </is>
      </c>
      <c r="C45" s="6" t="inlineStr">
        <is>
          <t>80ml and 125ml</t>
        </is>
      </c>
      <c r="D45" s="6" t="inlineStr">
        <is>
          <t>125ml Nice Pack</t>
        </is>
      </c>
      <c r="E45" s="6" t="inlineStr">
        <is>
          <t>PCS</t>
        </is>
      </c>
      <c r="F45" s="6" t="inlineStr">
        <is>
          <t>Carton</t>
        </is>
      </c>
      <c r="G45" s="7" t="n">
        <v>4000</v>
      </c>
      <c r="H45" s="8" t="n">
        <v>3</v>
      </c>
      <c r="I45" s="9">
        <f>IF(G45="","",G45*H45)</f>
        <v/>
      </c>
      <c r="J45" s="8" t="n">
        <v>0</v>
      </c>
      <c r="K45" s="5">
        <f>IF(G45="","",IF(F45="","","1 "&amp;F45&amp;" = "&amp;TEXT(G45,"#,##0")&amp;" "&amp;E45))</f>
        <v/>
      </c>
      <c r="L45" s="5" t="n"/>
    </row>
    <row r="46">
      <c r="A46" s="5" t="n">
        <v>2045</v>
      </c>
      <c r="B46" s="6" t="inlineStr">
        <is>
          <t>Plastic Cups</t>
        </is>
      </c>
      <c r="C46" s="6" t="inlineStr">
        <is>
          <t>100ml 125ml Ravi</t>
        </is>
      </c>
      <c r="D46" s="6" t="inlineStr">
        <is>
          <t>100ml Ravi</t>
        </is>
      </c>
      <c r="E46" s="6" t="inlineStr">
        <is>
          <t>PCS</t>
        </is>
      </c>
      <c r="F46" s="6" t="inlineStr">
        <is>
          <t>Carton</t>
        </is>
      </c>
      <c r="G46" s="7" t="n">
        <v>2000</v>
      </c>
      <c r="H46" s="8" t="n">
        <v>3.7</v>
      </c>
      <c r="I46" s="9">
        <f>IF(G46="","",G46*H46)</f>
        <v/>
      </c>
      <c r="J46" s="8" t="n">
        <v>0</v>
      </c>
      <c r="K46" s="5">
        <f>IF(G46="","",IF(F46="","","1 "&amp;F46&amp;" = "&amp;TEXT(G46,"#,##0")&amp;" "&amp;E46))</f>
        <v/>
      </c>
      <c r="L46" s="5" t="n"/>
    </row>
    <row r="47">
      <c r="A47" s="5" t="n">
        <v>2046</v>
      </c>
      <c r="B47" s="6" t="inlineStr">
        <is>
          <t>Plastic Cups</t>
        </is>
      </c>
      <c r="C47" s="6" t="inlineStr">
        <is>
          <t>100ml 125ml Ravi</t>
        </is>
      </c>
      <c r="D47" s="6" t="inlineStr">
        <is>
          <t>125ml Ravi</t>
        </is>
      </c>
      <c r="E47" s="6" t="inlineStr">
        <is>
          <t>PCS</t>
        </is>
      </c>
      <c r="F47" s="6" t="inlineStr">
        <is>
          <t>Carton</t>
        </is>
      </c>
      <c r="G47" s="7" t="n">
        <v>2000</v>
      </c>
      <c r="H47" s="8" t="n">
        <v>4</v>
      </c>
      <c r="I47" s="9">
        <f>IF(G47="","",G47*H47)</f>
        <v/>
      </c>
      <c r="J47" s="8" t="n">
        <v>0</v>
      </c>
      <c r="K47" s="5">
        <f>IF(G47="","",IF(F47="","","1 "&amp;F47&amp;" = "&amp;TEXT(G47,"#,##0")&amp;" "&amp;E47))</f>
        <v/>
      </c>
      <c r="L47" s="5" t="n"/>
    </row>
    <row r="48">
      <c r="A48" s="5" t="n">
        <v>2047</v>
      </c>
      <c r="B48" s="6" t="inlineStr">
        <is>
          <t>Plastic Cups</t>
        </is>
      </c>
      <c r="C48" s="6" t="inlineStr">
        <is>
          <t>100ml 125ml Ravi</t>
        </is>
      </c>
      <c r="D48" s="6" t="inlineStr">
        <is>
          <t>100ml and 125ml Ravi Lid</t>
        </is>
      </c>
      <c r="E48" s="6" t="inlineStr">
        <is>
          <t>PCS</t>
        </is>
      </c>
      <c r="F48" s="6" t="inlineStr">
        <is>
          <t>Carton</t>
        </is>
      </c>
      <c r="G48" s="7" t="n">
        <v>2000</v>
      </c>
      <c r="H48" s="8" t="n">
        <v>1.5</v>
      </c>
      <c r="I48" s="9">
        <f>IF(G48="","",G48*H48)</f>
        <v/>
      </c>
      <c r="J48" s="8" t="n">
        <v>0</v>
      </c>
      <c r="K48" s="5">
        <f>IF(G48="","",IF(F48="","","1 "&amp;F48&amp;" = "&amp;TEXT(G48,"#,##0")&amp;" "&amp;E48))</f>
        <v/>
      </c>
      <c r="L48" s="5" t="n"/>
    </row>
    <row r="49">
      <c r="A49" s="5" t="n">
        <v>2048</v>
      </c>
      <c r="B49" s="6" t="inlineStr">
        <is>
          <t>Plastic Cups</t>
        </is>
      </c>
      <c r="C49" s="6" t="inlineStr">
        <is>
          <t>200ml Bowl</t>
        </is>
      </c>
      <c r="D49" s="6" t="inlineStr">
        <is>
          <t>Easy Cary 200ml</t>
        </is>
      </c>
      <c r="E49" s="6" t="inlineStr">
        <is>
          <t>PCS</t>
        </is>
      </c>
      <c r="F49" s="6" t="inlineStr">
        <is>
          <t>Carton</t>
        </is>
      </c>
      <c r="G49" s="7" t="n">
        <v>1500</v>
      </c>
      <c r="H49" s="8" t="n">
        <v>3</v>
      </c>
      <c r="I49" s="9">
        <f>IF(G49="","",G49*H49)</f>
        <v/>
      </c>
      <c r="J49" s="8" t="n">
        <v>0</v>
      </c>
      <c r="K49" s="5">
        <f>IF(G49="","",IF(F49="","","1 "&amp;F49&amp;" = "&amp;TEXT(G49,"#,##0")&amp;" "&amp;E49))</f>
        <v/>
      </c>
      <c r="L49" s="5" t="n"/>
    </row>
    <row r="50">
      <c r="A50" s="5" t="n">
        <v>2049</v>
      </c>
      <c r="B50" s="6" t="inlineStr">
        <is>
          <t>Plastic Cups</t>
        </is>
      </c>
      <c r="C50" s="6" t="inlineStr">
        <is>
          <t>200ml Bowl</t>
        </is>
      </c>
      <c r="D50" s="6" t="inlineStr">
        <is>
          <t>World Pack 200ml</t>
        </is>
      </c>
      <c r="E50" s="6" t="inlineStr">
        <is>
          <t>PCS</t>
        </is>
      </c>
      <c r="F50" s="6" t="inlineStr">
        <is>
          <t>Carton</t>
        </is>
      </c>
      <c r="G50" s="7" t="n">
        <v>2000</v>
      </c>
      <c r="H50" s="8" t="n">
        <v>3</v>
      </c>
      <c r="I50" s="9">
        <f>IF(G50="","",G50*H50)</f>
        <v/>
      </c>
      <c r="J50" s="8" t="n">
        <v>0</v>
      </c>
      <c r="K50" s="5">
        <f>IF(G50="","",IF(F50="","","1 "&amp;F50&amp;" = "&amp;TEXT(G50,"#,##0")&amp;" "&amp;E50))</f>
        <v/>
      </c>
      <c r="L50" s="5" t="n"/>
    </row>
    <row r="51">
      <c r="A51" s="5" t="n">
        <v>2050</v>
      </c>
      <c r="B51" s="6" t="inlineStr">
        <is>
          <t>Plastic Cups</t>
        </is>
      </c>
      <c r="C51" s="6" t="inlineStr">
        <is>
          <t>200ml Bowl</t>
        </is>
      </c>
      <c r="D51" s="6" t="inlineStr">
        <is>
          <t>Milky Lid Without Cut 200ml</t>
        </is>
      </c>
      <c r="E51" s="6" t="inlineStr">
        <is>
          <t>PCS</t>
        </is>
      </c>
      <c r="F51" s="6" t="inlineStr">
        <is>
          <t>Carton</t>
        </is>
      </c>
      <c r="G51" s="7" t="n">
        <v>2000</v>
      </c>
      <c r="H51" s="8" t="n">
        <v>1.5</v>
      </c>
      <c r="I51" s="9">
        <f>IF(G51="","",G51*H51)</f>
        <v/>
      </c>
      <c r="J51" s="8" t="n">
        <v>0</v>
      </c>
      <c r="K51" s="5">
        <f>IF(G51="","",IF(F51="","","1 "&amp;F51&amp;" = "&amp;TEXT(G51,"#,##0")&amp;" "&amp;E51))</f>
        <v/>
      </c>
      <c r="L51" s="5" t="inlineStr">
        <is>
          <t>PDF: "W/O cut"</t>
        </is>
      </c>
    </row>
    <row r="52">
      <c r="A52" s="5" t="n">
        <v>2051</v>
      </c>
      <c r="B52" s="6" t="inlineStr">
        <is>
          <t>Plastic Cups</t>
        </is>
      </c>
      <c r="C52" s="6" t="inlineStr">
        <is>
          <t>150ml Bowl</t>
        </is>
      </c>
      <c r="D52" s="6" t="inlineStr">
        <is>
          <t>150ml KR</t>
        </is>
      </c>
      <c r="E52" s="6" t="inlineStr">
        <is>
          <t>PCS</t>
        </is>
      </c>
      <c r="F52" s="6" t="inlineStr">
        <is>
          <t>Carton</t>
        </is>
      </c>
      <c r="G52" s="7" t="n">
        <v>1000</v>
      </c>
      <c r="H52" s="8" t="n">
        <v>7.5</v>
      </c>
      <c r="I52" s="9">
        <f>IF(G52="","",G52*H52)</f>
        <v/>
      </c>
      <c r="J52" s="8" t="n">
        <v>0</v>
      </c>
      <c r="K52" s="5">
        <f>IF(G52="","",IF(F52="","","1 "&amp;F52&amp;" = "&amp;TEXT(G52,"#,##0")&amp;" "&amp;E52))</f>
        <v/>
      </c>
      <c r="L52" s="5" t="n"/>
    </row>
    <row r="53">
      <c r="A53" s="5" t="n">
        <v>2052</v>
      </c>
      <c r="B53" s="6" t="inlineStr">
        <is>
          <t>Plastic Cups</t>
        </is>
      </c>
      <c r="C53" s="6" t="inlineStr">
        <is>
          <t>150ml Bowl</t>
        </is>
      </c>
      <c r="D53" s="6" t="inlineStr">
        <is>
          <t>150ml KR Lid</t>
        </is>
      </c>
      <c r="E53" s="6" t="inlineStr">
        <is>
          <t>PCS</t>
        </is>
      </c>
      <c r="F53" s="6" t="inlineStr">
        <is>
          <t>Carton</t>
        </is>
      </c>
      <c r="G53" s="7" t="n">
        <v>1000</v>
      </c>
      <c r="H53" s="8" t="n">
        <v>3</v>
      </c>
      <c r="I53" s="9">
        <f>IF(G53="","",G53*H53)</f>
        <v/>
      </c>
      <c r="J53" s="8" t="n">
        <v>0</v>
      </c>
      <c r="K53" s="5">
        <f>IF(G53="","",IF(F53="","","1 "&amp;F53&amp;" = "&amp;TEXT(G53,"#,##0")&amp;" "&amp;E53))</f>
        <v/>
      </c>
      <c r="L53" s="5" t="n"/>
    </row>
    <row r="54">
      <c r="A54" s="5" t="n">
        <v>2053</v>
      </c>
      <c r="B54" s="6" t="inlineStr">
        <is>
          <t>Plastic Cups</t>
        </is>
      </c>
      <c r="C54" s="6" t="inlineStr">
        <is>
          <t>150ml Bowl</t>
        </is>
      </c>
      <c r="D54" s="6" t="inlineStr">
        <is>
          <t>150ml World Pack</t>
        </is>
      </c>
      <c r="E54" s="6" t="inlineStr">
        <is>
          <t>PCS</t>
        </is>
      </c>
      <c r="F54" s="6" t="inlineStr">
        <is>
          <t>Carton</t>
        </is>
      </c>
      <c r="G54" s="7" t="n">
        <v>1000</v>
      </c>
      <c r="H54" s="8" t="n">
        <v>7.5</v>
      </c>
      <c r="I54" s="9">
        <f>IF(G54="","",G54*H54)</f>
        <v/>
      </c>
      <c r="J54" s="8" t="n">
        <v>0</v>
      </c>
      <c r="K54" s="5">
        <f>IF(G54="","",IF(F54="","","1 "&amp;F54&amp;" = "&amp;TEXT(G54,"#,##0")&amp;" "&amp;E54))</f>
        <v/>
      </c>
      <c r="L54" s="5" t="n"/>
    </row>
    <row r="55">
      <c r="A55" s="5" t="n">
        <v>2054</v>
      </c>
      <c r="B55" s="6" t="inlineStr">
        <is>
          <t>Plastic Cups</t>
        </is>
      </c>
      <c r="C55" s="6" t="inlineStr">
        <is>
          <t>150ml Bowl</t>
        </is>
      </c>
      <c r="D55" s="6" t="inlineStr">
        <is>
          <t>150ml World Pack Lid</t>
        </is>
      </c>
      <c r="E55" s="6" t="inlineStr">
        <is>
          <t>PCS</t>
        </is>
      </c>
      <c r="F55" s="6" t="inlineStr">
        <is>
          <t>Carton</t>
        </is>
      </c>
      <c r="G55" s="7" t="n">
        <v>1000</v>
      </c>
      <c r="H55" s="8" t="n">
        <v>3</v>
      </c>
      <c r="I55" s="9">
        <f>IF(G55="","",G55*H55)</f>
        <v/>
      </c>
      <c r="J55" s="8" t="n">
        <v>0</v>
      </c>
      <c r="K55" s="5">
        <f>IF(G55="","",IF(F55="","","1 "&amp;F55&amp;" = "&amp;TEXT(G55,"#,##0")&amp;" "&amp;E55))</f>
        <v/>
      </c>
      <c r="L55" s="5" t="n"/>
    </row>
    <row r="56">
      <c r="A56" s="5" t="n">
        <v>2055</v>
      </c>
      <c r="B56" s="6" t="inlineStr">
        <is>
          <t>Dip Sauce</t>
        </is>
      </c>
      <c r="C56" s="6" t="inlineStr">
        <is>
          <t>KR</t>
        </is>
      </c>
      <c r="D56" s="6" t="inlineStr">
        <is>
          <t>1.5oz KR Cristal</t>
        </is>
      </c>
      <c r="E56" s="6" t="inlineStr">
        <is>
          <t>PCS</t>
        </is>
      </c>
      <c r="F56" s="6" t="inlineStr">
        <is>
          <t>Carton</t>
        </is>
      </c>
      <c r="G56" s="7" t="n">
        <v>4000</v>
      </c>
      <c r="H56" s="8" t="n">
        <v>2</v>
      </c>
      <c r="I56" s="9">
        <f>IF(G56="","",G56*H56)</f>
        <v/>
      </c>
      <c r="J56" s="8" t="n">
        <v>0</v>
      </c>
      <c r="K56" s="5">
        <f>IF(G56="","",IF(F56="","","1 "&amp;F56&amp;" = "&amp;TEXT(G56,"#,##0")&amp;" "&amp;E56))</f>
        <v/>
      </c>
      <c r="L56" s="5" t="n"/>
    </row>
    <row r="57">
      <c r="A57" s="5" t="n">
        <v>2056</v>
      </c>
      <c r="B57" s="6" t="inlineStr">
        <is>
          <t>Dip Sauce</t>
        </is>
      </c>
      <c r="C57" s="6" t="inlineStr">
        <is>
          <t>KR</t>
        </is>
      </c>
      <c r="D57" s="6" t="inlineStr">
        <is>
          <t>1.5oz KR Black</t>
        </is>
      </c>
      <c r="E57" s="6" t="inlineStr">
        <is>
          <t>PCS</t>
        </is>
      </c>
      <c r="F57" s="6" t="inlineStr">
        <is>
          <t>Carton</t>
        </is>
      </c>
      <c r="G57" s="7" t="n">
        <v>4000</v>
      </c>
      <c r="H57" s="8" t="n">
        <v>2</v>
      </c>
      <c r="I57" s="9">
        <f>IF(G57="","",G57*H57)</f>
        <v/>
      </c>
      <c r="J57" s="8" t="n">
        <v>0</v>
      </c>
      <c r="K57" s="5">
        <f>IF(G57="","",IF(F57="","","1 "&amp;F57&amp;" = "&amp;TEXT(G57,"#,##0")&amp;" "&amp;E57))</f>
        <v/>
      </c>
      <c r="L57" s="5" t="n"/>
    </row>
    <row r="58">
      <c r="A58" s="5" t="n">
        <v>2057</v>
      </c>
      <c r="B58" s="6" t="inlineStr">
        <is>
          <t>Dip Sauce</t>
        </is>
      </c>
      <c r="C58" s="6" t="inlineStr">
        <is>
          <t>KR</t>
        </is>
      </c>
      <c r="D58" s="6" t="inlineStr">
        <is>
          <t>02oz KR Cristal</t>
        </is>
      </c>
      <c r="E58" s="6" t="inlineStr">
        <is>
          <t>PCS</t>
        </is>
      </c>
      <c r="F58" s="6" t="inlineStr">
        <is>
          <t>Carton</t>
        </is>
      </c>
      <c r="G58" s="7" t="n">
        <v>4000</v>
      </c>
      <c r="H58" s="8" t="n">
        <v>3</v>
      </c>
      <c r="I58" s="9">
        <f>IF(G58="","",G58*H58)</f>
        <v/>
      </c>
      <c r="J58" s="8" t="n">
        <v>0</v>
      </c>
      <c r="K58" s="5">
        <f>IF(G58="","",IF(F58="","","1 "&amp;F58&amp;" = "&amp;TEXT(G58,"#,##0")&amp;" "&amp;E58))</f>
        <v/>
      </c>
      <c r="L58" s="5" t="n"/>
    </row>
    <row r="59">
      <c r="A59" s="5" t="n">
        <v>2058</v>
      </c>
      <c r="B59" s="6" t="inlineStr">
        <is>
          <t>Dip Sauce</t>
        </is>
      </c>
      <c r="C59" s="6" t="inlineStr">
        <is>
          <t>KR</t>
        </is>
      </c>
      <c r="D59" s="6" t="inlineStr">
        <is>
          <t>02oz KR Black</t>
        </is>
      </c>
      <c r="E59" s="6" t="inlineStr">
        <is>
          <t>PCS</t>
        </is>
      </c>
      <c r="F59" s="6" t="inlineStr">
        <is>
          <t>Carton</t>
        </is>
      </c>
      <c r="G59" s="7" t="n">
        <v>4000</v>
      </c>
      <c r="H59" s="8" t="n">
        <v>3</v>
      </c>
      <c r="I59" s="9">
        <f>IF(G59="","",G59*H59)</f>
        <v/>
      </c>
      <c r="J59" s="8" t="n">
        <v>0</v>
      </c>
      <c r="K59" s="5">
        <f>IF(G59="","",IF(F59="","","1 "&amp;F59&amp;" = "&amp;TEXT(G59,"#,##0")&amp;" "&amp;E59))</f>
        <v/>
      </c>
      <c r="L59" s="5" t="n"/>
    </row>
    <row r="60">
      <c r="A60" s="5" t="n">
        <v>2059</v>
      </c>
      <c r="B60" s="6" t="inlineStr">
        <is>
          <t>Dip Sauce</t>
        </is>
      </c>
      <c r="C60" s="6" t="inlineStr">
        <is>
          <t>KR</t>
        </is>
      </c>
      <c r="D60" s="6" t="inlineStr">
        <is>
          <t>1.5oz KR Lid</t>
        </is>
      </c>
      <c r="E60" s="6" t="inlineStr">
        <is>
          <t>PCS</t>
        </is>
      </c>
      <c r="F60" s="6" t="inlineStr">
        <is>
          <t>Carton</t>
        </is>
      </c>
      <c r="G60" s="7" t="n">
        <v>4000</v>
      </c>
      <c r="H60" s="8" t="n">
        <v>1</v>
      </c>
      <c r="I60" s="9">
        <f>IF(G60="","",G60*H60)</f>
        <v/>
      </c>
      <c r="J60" s="8" t="n">
        <v>0</v>
      </c>
      <c r="K60" s="5">
        <f>IF(G60="","",IF(F60="","","1 "&amp;F60&amp;" = "&amp;TEXT(G60,"#,##0")&amp;" "&amp;E60))</f>
        <v/>
      </c>
      <c r="L60" s="5" t="inlineStr">
        <is>
          <t>PDF: "1.5 0z Lid"</t>
        </is>
      </c>
    </row>
    <row r="61">
      <c r="A61" s="5" t="n">
        <v>2060</v>
      </c>
      <c r="B61" s="6" t="inlineStr">
        <is>
          <t>Dip Sauce</t>
        </is>
      </c>
      <c r="C61" s="6" t="inlineStr">
        <is>
          <t>KR</t>
        </is>
      </c>
      <c r="D61" s="6" t="inlineStr">
        <is>
          <t>1.5oz World Pack</t>
        </is>
      </c>
      <c r="E61" s="6" t="inlineStr">
        <is>
          <t>PCS</t>
        </is>
      </c>
      <c r="F61" s="6" t="inlineStr">
        <is>
          <t>Carton</t>
        </is>
      </c>
      <c r="G61" s="7" t="n">
        <v>4000</v>
      </c>
      <c r="H61" s="8" t="n">
        <v>2.3</v>
      </c>
      <c r="I61" s="9">
        <f>IF(G61="","",G61*H61)</f>
        <v/>
      </c>
      <c r="J61" s="8" t="n">
        <v>0</v>
      </c>
      <c r="K61" s="5">
        <f>IF(G61="","",IF(F61="","","1 "&amp;F61&amp;" = "&amp;TEXT(G61,"#,##0")&amp;" "&amp;E61))</f>
        <v/>
      </c>
      <c r="L61" s="5" t="n"/>
    </row>
    <row r="62">
      <c r="A62" s="5" t="n">
        <v>2061</v>
      </c>
      <c r="B62" s="6" t="inlineStr">
        <is>
          <t>Dip Sauce</t>
        </is>
      </c>
      <c r="C62" s="6" t="inlineStr">
        <is>
          <t>KR</t>
        </is>
      </c>
      <c r="D62" s="6" t="inlineStr">
        <is>
          <t>1.5oz World Pack Lid</t>
        </is>
      </c>
      <c r="E62" s="6" t="inlineStr">
        <is>
          <t>PCS</t>
        </is>
      </c>
      <c r="F62" s="6" t="inlineStr">
        <is>
          <t>Carton</t>
        </is>
      </c>
      <c r="G62" s="7" t="n">
        <v>4000</v>
      </c>
      <c r="H62" s="8" t="n">
        <v>1</v>
      </c>
      <c r="I62" s="9">
        <f>IF(G62="","",G62*H62)</f>
        <v/>
      </c>
      <c r="J62" s="8" t="n">
        <v>0</v>
      </c>
      <c r="K62" s="5">
        <f>IF(G62="","",IF(F62="","","1 "&amp;F62&amp;" = "&amp;TEXT(G62,"#,##0")&amp;" "&amp;E62))</f>
        <v/>
      </c>
      <c r="L62" s="5" t="n"/>
    </row>
    <row r="63">
      <c r="A63" s="5" t="n">
        <v>2062</v>
      </c>
      <c r="B63" s="6" t="inlineStr">
        <is>
          <t>Dip Sauce</t>
        </is>
      </c>
      <c r="C63" s="6" t="inlineStr">
        <is>
          <t>01oz Attach</t>
        </is>
      </c>
      <c r="D63" s="6" t="inlineStr">
        <is>
          <t>01oz Huzaifa Sauce Cup</t>
        </is>
      </c>
      <c r="E63" s="6" t="inlineStr">
        <is>
          <t>PCS</t>
        </is>
      </c>
      <c r="F63" s="6" t="inlineStr">
        <is>
          <t>Carton</t>
        </is>
      </c>
      <c r="G63" s="7" t="n">
        <v>3000</v>
      </c>
      <c r="H63" s="8" t="n">
        <v>2.3</v>
      </c>
      <c r="I63" s="9">
        <f>IF(G63="","",G63*H63)</f>
        <v/>
      </c>
      <c r="J63" s="8" t="n">
        <v>0</v>
      </c>
      <c r="K63" s="5">
        <f>IF(G63="","",IF(F63="","","1 "&amp;F63&amp;" = "&amp;TEXT(G63,"#,##0")&amp;" "&amp;E63))</f>
        <v/>
      </c>
      <c r="L63" s="5" t="n"/>
    </row>
    <row r="64">
      <c r="A64" s="5" t="n">
        <v>2063</v>
      </c>
      <c r="B64" s="6" t="inlineStr">
        <is>
          <t>Dip Sauce</t>
        </is>
      </c>
      <c r="C64" s="6" t="inlineStr">
        <is>
          <t>01oz Attach</t>
        </is>
      </c>
      <c r="D64" s="6" t="inlineStr">
        <is>
          <t>01oz CP Sauce Cup</t>
        </is>
      </c>
      <c r="E64" s="6" t="inlineStr">
        <is>
          <t>PCS</t>
        </is>
      </c>
      <c r="F64" s="6" t="inlineStr">
        <is>
          <t>Carton</t>
        </is>
      </c>
      <c r="G64" s="7" t="n">
        <v>3000</v>
      </c>
      <c r="H64" s="8" t="n">
        <v>2.3</v>
      </c>
      <c r="I64" s="9">
        <f>IF(G64="","",G64*H64)</f>
        <v/>
      </c>
      <c r="J64" s="8" t="n">
        <v>0</v>
      </c>
      <c r="K64" s="5">
        <f>IF(G64="","",IF(F64="","","1 "&amp;F64&amp;" = "&amp;TEXT(G64,"#,##0")&amp;" "&amp;E64))</f>
        <v/>
      </c>
      <c r="L64" s="5" t="n"/>
    </row>
    <row r="65">
      <c r="A65" s="5" t="n">
        <v>2064</v>
      </c>
      <c r="B65" s="6" t="inlineStr">
        <is>
          <t>Dip Sauce</t>
        </is>
      </c>
      <c r="C65" s="6" t="inlineStr">
        <is>
          <t>01oz Attach</t>
        </is>
      </c>
      <c r="D65" s="6" t="inlineStr">
        <is>
          <t>01oz AP Sauce Cup</t>
        </is>
      </c>
      <c r="E65" s="6" t="inlineStr">
        <is>
          <t>PCS</t>
        </is>
      </c>
      <c r="F65" s="6" t="inlineStr">
        <is>
          <t>Carton</t>
        </is>
      </c>
      <c r="G65" s="7" t="n">
        <v>3000</v>
      </c>
      <c r="H65" s="8" t="n">
        <v>2.3</v>
      </c>
      <c r="I65" s="9">
        <f>IF(G65="","",G65*H65)</f>
        <v/>
      </c>
      <c r="J65" s="8" t="n">
        <v>0</v>
      </c>
      <c r="K65" s="5">
        <f>IF(G65="","",IF(F65="","","1 "&amp;F65&amp;" = "&amp;TEXT(G65,"#,##0")&amp;" "&amp;E65))</f>
        <v/>
      </c>
      <c r="L65" s="5" t="n"/>
    </row>
    <row r="66">
      <c r="A66" s="5" t="n">
        <v>2065</v>
      </c>
      <c r="B66" s="6" t="inlineStr">
        <is>
          <t>Dip Sauce</t>
        </is>
      </c>
      <c r="C66" s="6" t="inlineStr">
        <is>
          <t>01oz Attach</t>
        </is>
      </c>
      <c r="D66" s="6" t="inlineStr">
        <is>
          <t>01oz AMS Sauce Cup</t>
        </is>
      </c>
      <c r="E66" s="6" t="inlineStr">
        <is>
          <t>PCS</t>
        </is>
      </c>
      <c r="F66" s="6" t="inlineStr">
        <is>
          <t>Carton</t>
        </is>
      </c>
      <c r="G66" s="7" t="n">
        <v>3000</v>
      </c>
      <c r="H66" s="8" t="n">
        <v>2.3</v>
      </c>
      <c r="I66" s="9">
        <f>IF(G66="","",G66*H66)</f>
        <v/>
      </c>
      <c r="J66" s="8" t="n">
        <v>0</v>
      </c>
      <c r="K66" s="5">
        <f>IF(G66="","",IF(F66="","","1 "&amp;F66&amp;" = "&amp;TEXT(G66,"#,##0")&amp;" "&amp;E66))</f>
        <v/>
      </c>
      <c r="L66" s="5" t="n"/>
    </row>
    <row r="67">
      <c r="A67" s="5" t="n">
        <v>2066</v>
      </c>
      <c r="B67" s="6" t="inlineStr">
        <is>
          <t>Dip Sauce</t>
        </is>
      </c>
      <c r="C67" s="6" t="inlineStr">
        <is>
          <t>01oz Attach</t>
        </is>
      </c>
      <c r="D67" s="6" t="inlineStr">
        <is>
          <t>01oz Ecoplase Sauce Cup</t>
        </is>
      </c>
      <c r="E67" s="6" t="inlineStr">
        <is>
          <t>PCS</t>
        </is>
      </c>
      <c r="F67" s="6" t="inlineStr">
        <is>
          <t>Carton</t>
        </is>
      </c>
      <c r="G67" s="7" t="n">
        <v>3000</v>
      </c>
      <c r="H67" s="8" t="n">
        <v>2.3</v>
      </c>
      <c r="I67" s="9">
        <f>IF(G67="","",G67*H67)</f>
        <v/>
      </c>
      <c r="J67" s="8" t="n">
        <v>0</v>
      </c>
      <c r="K67" s="5">
        <f>IF(G67="","",IF(F67="","","1 "&amp;F67&amp;" = "&amp;TEXT(G67,"#,##0")&amp;" "&amp;E67))</f>
        <v/>
      </c>
      <c r="L67" s="5" t="n"/>
    </row>
    <row r="68">
      <c r="A68" s="5" t="n">
        <v>2067</v>
      </c>
      <c r="B68" s="6" t="inlineStr">
        <is>
          <t>Dip Sauce</t>
        </is>
      </c>
      <c r="C68" s="6" t="inlineStr">
        <is>
          <t>02oz Attach</t>
        </is>
      </c>
      <c r="D68" s="6" t="inlineStr">
        <is>
          <t>02oz Huzaifa Sauce Cup</t>
        </is>
      </c>
      <c r="E68" s="6" t="inlineStr">
        <is>
          <t>PCS</t>
        </is>
      </c>
      <c r="F68" s="6" t="inlineStr">
        <is>
          <t>Carton</t>
        </is>
      </c>
      <c r="G68" s="7" t="n">
        <v>1500</v>
      </c>
      <c r="H68" s="8" t="n">
        <v>3.3</v>
      </c>
      <c r="I68" s="9">
        <f>IF(G68="","",G68*H68)</f>
        <v/>
      </c>
      <c r="J68" s="8" t="n">
        <v>0</v>
      </c>
      <c r="K68" s="5">
        <f>IF(G68="","",IF(F68="","","1 "&amp;F68&amp;" = "&amp;TEXT(G68,"#,##0")&amp;" "&amp;E68))</f>
        <v/>
      </c>
      <c r="L68" s="5" t="n"/>
    </row>
    <row r="69">
      <c r="A69" s="5" t="n">
        <v>2068</v>
      </c>
      <c r="B69" s="6" t="inlineStr">
        <is>
          <t>Dip Sauce</t>
        </is>
      </c>
      <c r="C69" s="6" t="inlineStr">
        <is>
          <t>02oz Attach</t>
        </is>
      </c>
      <c r="D69" s="6" t="inlineStr">
        <is>
          <t>02oz CP Sauce Cup</t>
        </is>
      </c>
      <c r="E69" s="6" t="inlineStr">
        <is>
          <t>PCS</t>
        </is>
      </c>
      <c r="F69" s="6" t="inlineStr">
        <is>
          <t>Carton</t>
        </is>
      </c>
      <c r="G69" s="7" t="n">
        <v>3000</v>
      </c>
      <c r="H69" s="8" t="n">
        <v>3.3</v>
      </c>
      <c r="I69" s="9">
        <f>IF(G69="","",G69*H69)</f>
        <v/>
      </c>
      <c r="J69" s="8" t="n">
        <v>0</v>
      </c>
      <c r="K69" s="5">
        <f>IF(G69="","",IF(F69="","","1 "&amp;F69&amp;" = "&amp;TEXT(G69,"#,##0")&amp;" "&amp;E69))</f>
        <v/>
      </c>
      <c r="L69" s="5" t="n"/>
    </row>
    <row r="70">
      <c r="A70" s="5" t="n">
        <v>2069</v>
      </c>
      <c r="B70" s="6" t="inlineStr">
        <is>
          <t>Dip Sauce</t>
        </is>
      </c>
      <c r="C70" s="6" t="inlineStr">
        <is>
          <t>02oz Attach</t>
        </is>
      </c>
      <c r="D70" s="6" t="inlineStr">
        <is>
          <t>02oz AP Sauce Cup</t>
        </is>
      </c>
      <c r="E70" s="6" t="inlineStr">
        <is>
          <t>PCS</t>
        </is>
      </c>
      <c r="F70" s="6" t="inlineStr">
        <is>
          <t>Carton</t>
        </is>
      </c>
      <c r="G70" s="7" t="n">
        <v>3000</v>
      </c>
      <c r="H70" s="8" t="n">
        <v>3.3</v>
      </c>
      <c r="I70" s="9">
        <f>IF(G70="","",G70*H70)</f>
        <v/>
      </c>
      <c r="J70" s="8" t="n">
        <v>0</v>
      </c>
      <c r="K70" s="5">
        <f>IF(G70="","",IF(F70="","","1 "&amp;F70&amp;" = "&amp;TEXT(G70,"#,##0")&amp;" "&amp;E70))</f>
        <v/>
      </c>
      <c r="L70" s="5" t="n"/>
    </row>
    <row r="71">
      <c r="A71" s="5" t="n">
        <v>2070</v>
      </c>
      <c r="B71" s="6" t="inlineStr">
        <is>
          <t>Dip Sauce</t>
        </is>
      </c>
      <c r="C71" s="6" t="inlineStr">
        <is>
          <t>02oz Attach</t>
        </is>
      </c>
      <c r="D71" s="6" t="inlineStr">
        <is>
          <t>02oz AMS Sauce Cup</t>
        </is>
      </c>
      <c r="E71" s="6" t="inlineStr">
        <is>
          <t>PCS</t>
        </is>
      </c>
      <c r="F71" s="6" t="inlineStr">
        <is>
          <t>Carton</t>
        </is>
      </c>
      <c r="G71" s="7" t="n">
        <v>3000</v>
      </c>
      <c r="H71" s="8" t="n">
        <v>3.3</v>
      </c>
      <c r="I71" s="9">
        <f>IF(G71="","",G71*H71)</f>
        <v/>
      </c>
      <c r="J71" s="8" t="n">
        <v>0</v>
      </c>
      <c r="K71" s="5">
        <f>IF(G71="","",IF(F71="","","1 "&amp;F71&amp;" = "&amp;TEXT(G71,"#,##0")&amp;" "&amp;E71))</f>
        <v/>
      </c>
      <c r="L71" s="5" t="n"/>
    </row>
    <row r="72">
      <c r="A72" s="5" t="n">
        <v>2071</v>
      </c>
      <c r="B72" s="6" t="inlineStr">
        <is>
          <t>Dip Sauce</t>
        </is>
      </c>
      <c r="C72" s="6" t="inlineStr">
        <is>
          <t>02oz Attach</t>
        </is>
      </c>
      <c r="D72" s="6" t="inlineStr">
        <is>
          <t>02oz Ecoplase Sauce Cup</t>
        </is>
      </c>
      <c r="E72" s="6" t="inlineStr">
        <is>
          <t>PCS</t>
        </is>
      </c>
      <c r="F72" s="6" t="inlineStr">
        <is>
          <t>Carton</t>
        </is>
      </c>
      <c r="G72" s="7" t="n">
        <v>2000</v>
      </c>
      <c r="H72" s="8" t="n">
        <v>3.3</v>
      </c>
      <c r="I72" s="9">
        <f>IF(G72="","",G72*H72)</f>
        <v/>
      </c>
      <c r="J72" s="8" t="n">
        <v>0</v>
      </c>
      <c r="K72" s="5">
        <f>IF(G72="","",IF(F72="","","1 "&amp;F72&amp;" = "&amp;TEXT(G72,"#,##0")&amp;" "&amp;E72))</f>
        <v/>
      </c>
      <c r="L72" s="5" t="n"/>
    </row>
    <row r="73">
      <c r="A73" s="5" t="n">
        <v>2072</v>
      </c>
      <c r="B73" s="6" t="inlineStr">
        <is>
          <t>Dip Sauce</t>
        </is>
      </c>
      <c r="C73" s="6" t="inlineStr">
        <is>
          <t>1.5oz Attach</t>
        </is>
      </c>
      <c r="D73" s="6" t="inlineStr">
        <is>
          <t>1.5oz Shalimar Sauce Cup</t>
        </is>
      </c>
      <c r="E73" s="6" t="inlineStr">
        <is>
          <t>PCS</t>
        </is>
      </c>
      <c r="F73" s="6" t="inlineStr">
        <is>
          <t>Carton</t>
        </is>
      </c>
      <c r="G73" s="7" t="n">
        <v>3000</v>
      </c>
      <c r="H73" s="8" t="n">
        <v>1.6</v>
      </c>
      <c r="I73" s="9">
        <f>IF(G73="","",G73*H73)</f>
        <v/>
      </c>
      <c r="J73" s="8" t="n">
        <v>0</v>
      </c>
      <c r="K73" s="5">
        <f>IF(G73="","",IF(F73="","","1 "&amp;F73&amp;" = "&amp;TEXT(G73,"#,##0")&amp;" "&amp;E73))</f>
        <v/>
      </c>
      <c r="L73" s="5" t="n"/>
    </row>
    <row r="74">
      <c r="A74" s="5" t="n">
        <v>2073</v>
      </c>
      <c r="B74" s="6" t="inlineStr">
        <is>
          <t>Dip Sauce</t>
        </is>
      </c>
      <c r="C74" s="6" t="inlineStr">
        <is>
          <t>1.5oz Attach</t>
        </is>
      </c>
      <c r="D74" s="6" t="inlineStr">
        <is>
          <t>1.5oz AMS Sauce Cup</t>
        </is>
      </c>
      <c r="E74" s="6" t="inlineStr">
        <is>
          <t>PCS</t>
        </is>
      </c>
      <c r="F74" s="6" t="inlineStr">
        <is>
          <t>Carton</t>
        </is>
      </c>
      <c r="G74" s="7" t="n">
        <v>2500</v>
      </c>
      <c r="H74" s="8" t="n">
        <v>1.6</v>
      </c>
      <c r="I74" s="9">
        <f>IF(G74="","",G74*H74)</f>
        <v/>
      </c>
      <c r="J74" s="8" t="n">
        <v>0</v>
      </c>
      <c r="K74" s="5">
        <f>IF(G74="","",IF(F74="","","1 "&amp;F74&amp;" = "&amp;TEXT(G74,"#,##0")&amp;" "&amp;E74))</f>
        <v/>
      </c>
      <c r="L74" s="5" t="n"/>
    </row>
    <row r="75">
      <c r="A75" s="5" t="n">
        <v>2074</v>
      </c>
      <c r="B75" s="6" t="inlineStr">
        <is>
          <t>Dom Glass</t>
        </is>
      </c>
      <c r="C75" s="6" t="inlineStr">
        <is>
          <t>Ring Glass</t>
        </is>
      </c>
      <c r="D75" s="6" t="inlineStr">
        <is>
          <t>12oz Amafa Ring Glass</t>
        </is>
      </c>
      <c r="E75" s="6" t="inlineStr">
        <is>
          <t>PCS</t>
        </is>
      </c>
      <c r="F75" s="6" t="inlineStr">
        <is>
          <t>Carton</t>
        </is>
      </c>
      <c r="G75" s="7" t="n">
        <v>2000</v>
      </c>
      <c r="H75" s="8" t="n">
        <v>4</v>
      </c>
      <c r="I75" s="9">
        <f>IF(G75="","",G75*H75)</f>
        <v/>
      </c>
      <c r="J75" s="8" t="n">
        <v>0</v>
      </c>
      <c r="K75" s="5">
        <f>IF(G75="","",IF(F75="","","1 "&amp;F75&amp;" = "&amp;TEXT(G75,"#,##0")&amp;" "&amp;E75))</f>
        <v/>
      </c>
      <c r="L75" s="5" t="n"/>
    </row>
    <row r="76">
      <c r="A76" s="5" t="n">
        <v>2075</v>
      </c>
      <c r="B76" s="6" t="inlineStr">
        <is>
          <t>Dom Glass</t>
        </is>
      </c>
      <c r="C76" s="6" t="inlineStr">
        <is>
          <t>Ring Glass</t>
        </is>
      </c>
      <c r="D76" s="6" t="inlineStr">
        <is>
          <t>16oz Amafa Ring Glass</t>
        </is>
      </c>
      <c r="E76" s="6" t="inlineStr">
        <is>
          <t>PCS</t>
        </is>
      </c>
      <c r="F76" s="6" t="inlineStr">
        <is>
          <t>Carton</t>
        </is>
      </c>
      <c r="G76" s="7" t="n">
        <v>2000</v>
      </c>
      <c r="H76" s="8" t="n">
        <v>4.1</v>
      </c>
      <c r="I76" s="9">
        <f>IF(G76="","",G76*H76)</f>
        <v/>
      </c>
      <c r="J76" s="8" t="n">
        <v>0</v>
      </c>
      <c r="K76" s="5">
        <f>IF(G76="","",IF(F76="","","1 "&amp;F76&amp;" = "&amp;TEXT(G76,"#,##0")&amp;" "&amp;E76))</f>
        <v/>
      </c>
      <c r="L76" s="5" t="n"/>
    </row>
    <row r="77">
      <c r="A77" s="5" t="n">
        <v>2076</v>
      </c>
      <c r="B77" s="6" t="inlineStr">
        <is>
          <t>Dom Glass</t>
        </is>
      </c>
      <c r="C77" s="6" t="inlineStr">
        <is>
          <t>Ring Glass</t>
        </is>
      </c>
      <c r="D77" s="6" t="inlineStr">
        <is>
          <t>Amafa Ring Glass Lid</t>
        </is>
      </c>
      <c r="E77" s="6" t="inlineStr">
        <is>
          <t>PCS</t>
        </is>
      </c>
      <c r="F77" s="6" t="inlineStr">
        <is>
          <t>Carton</t>
        </is>
      </c>
      <c r="G77" s="7" t="n">
        <v>2000</v>
      </c>
      <c r="H77" s="8" t="n">
        <v>1.6</v>
      </c>
      <c r="I77" s="9">
        <f>IF(G77="","",G77*H77)</f>
        <v/>
      </c>
      <c r="J77" s="8" t="n">
        <v>0</v>
      </c>
      <c r="K77" s="5">
        <f>IF(G77="","",IF(F77="","","1 "&amp;F77&amp;" = "&amp;TEXT(G77,"#,##0")&amp;" "&amp;E77))</f>
        <v/>
      </c>
      <c r="L77" s="5" t="n"/>
    </row>
    <row r="78">
      <c r="A78" s="5" t="n">
        <v>2077</v>
      </c>
      <c r="B78" s="6" t="inlineStr">
        <is>
          <t>Dom Glass</t>
        </is>
      </c>
      <c r="C78" s="6" t="inlineStr">
        <is>
          <t>Ring Glass</t>
        </is>
      </c>
      <c r="D78" s="6" t="inlineStr">
        <is>
          <t>12oz CP Ring Glass</t>
        </is>
      </c>
      <c r="E78" s="6" t="inlineStr">
        <is>
          <t>PCS</t>
        </is>
      </c>
      <c r="F78" s="6" t="inlineStr">
        <is>
          <t>Carton</t>
        </is>
      </c>
      <c r="G78" s="7" t="n">
        <v>2000</v>
      </c>
      <c r="H78" s="8" t="n">
        <v>4</v>
      </c>
      <c r="I78" s="9">
        <f>IF(G78="","",G78*H78)</f>
        <v/>
      </c>
      <c r="J78" s="8" t="n">
        <v>0</v>
      </c>
      <c r="K78" s="5">
        <f>IF(G78="","",IF(F78="","","1 "&amp;F78&amp;" = "&amp;TEXT(G78,"#,##0")&amp;" "&amp;E78))</f>
        <v/>
      </c>
      <c r="L78" s="5" t="n"/>
    </row>
    <row r="79">
      <c r="A79" s="5" t="n">
        <v>2078</v>
      </c>
      <c r="B79" s="6" t="inlineStr">
        <is>
          <t>Dom Glass</t>
        </is>
      </c>
      <c r="C79" s="6" t="inlineStr">
        <is>
          <t>Ring Glass</t>
        </is>
      </c>
      <c r="D79" s="6" t="inlineStr">
        <is>
          <t>16oz CP Ring Glass</t>
        </is>
      </c>
      <c r="E79" s="6" t="inlineStr">
        <is>
          <t>PCS</t>
        </is>
      </c>
      <c r="F79" s="6" t="inlineStr">
        <is>
          <t>Carton</t>
        </is>
      </c>
      <c r="G79" s="7" t="n">
        <v>2000</v>
      </c>
      <c r="H79" s="8" t="n">
        <v>4.1</v>
      </c>
      <c r="I79" s="9">
        <f>IF(G79="","",G79*H79)</f>
        <v/>
      </c>
      <c r="J79" s="8" t="n">
        <v>0</v>
      </c>
      <c r="K79" s="5">
        <f>IF(G79="","",IF(F79="","","1 "&amp;F79&amp;" = "&amp;TEXT(G79,"#,##0")&amp;" "&amp;E79))</f>
        <v/>
      </c>
      <c r="L79" s="5" t="n"/>
    </row>
    <row r="80">
      <c r="A80" s="5" t="n">
        <v>2079</v>
      </c>
      <c r="B80" s="6" t="inlineStr">
        <is>
          <t>Dom Glass</t>
        </is>
      </c>
      <c r="C80" s="6" t="inlineStr">
        <is>
          <t>Ring Glass</t>
        </is>
      </c>
      <c r="D80" s="6" t="inlineStr">
        <is>
          <t>CP Ring Glass Lid</t>
        </is>
      </c>
      <c r="E80" s="6" t="inlineStr">
        <is>
          <t>PCS</t>
        </is>
      </c>
      <c r="F80" s="6" t="inlineStr">
        <is>
          <t>Carton</t>
        </is>
      </c>
      <c r="G80" s="7" t="n">
        <v>2000</v>
      </c>
      <c r="H80" s="8" t="n">
        <v>1.6</v>
      </c>
      <c r="I80" s="9">
        <f>IF(G80="","",G80*H80)</f>
        <v/>
      </c>
      <c r="J80" s="8" t="n">
        <v>0</v>
      </c>
      <c r="K80" s="5">
        <f>IF(G80="","",IF(F80="","","1 "&amp;F80&amp;" = "&amp;TEXT(G80,"#,##0")&amp;" "&amp;E80))</f>
        <v/>
      </c>
      <c r="L80" s="5" t="n"/>
    </row>
    <row r="81">
      <c r="A81" s="5" t="n">
        <v>2080</v>
      </c>
      <c r="B81" s="6" t="inlineStr">
        <is>
          <t>Dom Glass</t>
        </is>
      </c>
      <c r="C81" s="6" t="inlineStr">
        <is>
          <t>Ring Glass</t>
        </is>
      </c>
      <c r="D81" s="6" t="inlineStr">
        <is>
          <t>12oz World Pack Ring Glass</t>
        </is>
      </c>
      <c r="E81" s="6" t="inlineStr">
        <is>
          <t>PCS</t>
        </is>
      </c>
      <c r="F81" s="6" t="inlineStr">
        <is>
          <t>Carton</t>
        </is>
      </c>
      <c r="G81" s="7" t="n">
        <v>2000</v>
      </c>
      <c r="H81" s="8" t="n">
        <v>4</v>
      </c>
      <c r="I81" s="9">
        <f>IF(G81="","",G81*H81)</f>
        <v/>
      </c>
      <c r="J81" s="8" t="n">
        <v>0</v>
      </c>
      <c r="K81" s="5">
        <f>IF(G81="","",IF(F81="","","1 "&amp;F81&amp;" = "&amp;TEXT(G81,"#,##0")&amp;" "&amp;E81))</f>
        <v/>
      </c>
      <c r="L81" s="5" t="n"/>
    </row>
    <row r="82">
      <c r="A82" s="5" t="n">
        <v>2081</v>
      </c>
      <c r="B82" s="6" t="inlineStr">
        <is>
          <t>Dom Glass</t>
        </is>
      </c>
      <c r="C82" s="6" t="inlineStr">
        <is>
          <t>Ring Glass</t>
        </is>
      </c>
      <c r="D82" s="6" t="inlineStr">
        <is>
          <t>16oz World Pack Ring Glass</t>
        </is>
      </c>
      <c r="E82" s="6" t="inlineStr">
        <is>
          <t>PCS</t>
        </is>
      </c>
      <c r="F82" s="6" t="inlineStr">
        <is>
          <t>Carton</t>
        </is>
      </c>
      <c r="G82" s="7" t="n">
        <v>2000</v>
      </c>
      <c r="H82" s="8" t="n">
        <v>4.1</v>
      </c>
      <c r="I82" s="9">
        <f>IF(G82="","",G82*H82)</f>
        <v/>
      </c>
      <c r="J82" s="8" t="n">
        <v>0</v>
      </c>
      <c r="K82" s="5">
        <f>IF(G82="","",IF(F82="","","1 "&amp;F82&amp;" = "&amp;TEXT(G82,"#,##0")&amp;" "&amp;E82))</f>
        <v/>
      </c>
      <c r="L82" s="5" t="n"/>
    </row>
    <row r="83">
      <c r="A83" s="5" t="n">
        <v>2082</v>
      </c>
      <c r="B83" s="6" t="inlineStr">
        <is>
          <t>Dom Glass</t>
        </is>
      </c>
      <c r="C83" s="6" t="inlineStr">
        <is>
          <t>Ring Glass</t>
        </is>
      </c>
      <c r="D83" s="6" t="inlineStr">
        <is>
          <t>World Pack Ring Glass Lid</t>
        </is>
      </c>
      <c r="E83" s="6" t="inlineStr">
        <is>
          <t>PCS</t>
        </is>
      </c>
      <c r="F83" s="6" t="inlineStr">
        <is>
          <t>Carton</t>
        </is>
      </c>
      <c r="G83" s="7" t="n">
        <v>2000</v>
      </c>
      <c r="H83" s="8" t="n">
        <v>1.6</v>
      </c>
      <c r="I83" s="9">
        <f>IF(G83="","",G83*H83)</f>
        <v/>
      </c>
      <c r="J83" s="8" t="n">
        <v>0</v>
      </c>
      <c r="K83" s="5">
        <f>IF(G83="","",IF(F83="","","1 "&amp;F83&amp;" = "&amp;TEXT(G83,"#,##0")&amp;" "&amp;E83))</f>
        <v/>
      </c>
      <c r="L83" s="5" t="n"/>
    </row>
    <row r="84">
      <c r="A84" s="5" t="n">
        <v>2083</v>
      </c>
      <c r="B84" s="6" t="inlineStr">
        <is>
          <t>Dom Glass</t>
        </is>
      </c>
      <c r="C84" s="6" t="inlineStr">
        <is>
          <t>Ring Glass</t>
        </is>
      </c>
      <c r="D84" s="6" t="inlineStr">
        <is>
          <t>12oz Ravi Ring Glass</t>
        </is>
      </c>
      <c r="E84" s="6" t="inlineStr">
        <is>
          <t>PCS</t>
        </is>
      </c>
      <c r="F84" s="6" t="inlineStr">
        <is>
          <t>Carton</t>
        </is>
      </c>
      <c r="G84" s="7" t="n">
        <v>2000</v>
      </c>
      <c r="H84" s="8" t="n">
        <v>4</v>
      </c>
      <c r="I84" s="9">
        <f>IF(G84="","",G84*H84)</f>
        <v/>
      </c>
      <c r="J84" s="8" t="n">
        <v>0</v>
      </c>
      <c r="K84" s="5">
        <f>IF(G84="","",IF(F84="","","1 "&amp;F84&amp;" = "&amp;TEXT(G84,"#,##0")&amp;" "&amp;E84))</f>
        <v/>
      </c>
      <c r="L84" s="5" t="n"/>
    </row>
    <row r="85">
      <c r="A85" s="5" t="n">
        <v>2084</v>
      </c>
      <c r="B85" s="6" t="inlineStr">
        <is>
          <t>Dom Glass</t>
        </is>
      </c>
      <c r="C85" s="6" t="inlineStr">
        <is>
          <t>Ring Glass</t>
        </is>
      </c>
      <c r="D85" s="6" t="inlineStr">
        <is>
          <t>16oz Ravi Ring Glass</t>
        </is>
      </c>
      <c r="E85" s="6" t="inlineStr">
        <is>
          <t>PCS</t>
        </is>
      </c>
      <c r="F85" s="6" t="inlineStr">
        <is>
          <t>Carton</t>
        </is>
      </c>
      <c r="G85" s="7" t="n">
        <v>2000</v>
      </c>
      <c r="H85" s="8" t="n">
        <v>4.1</v>
      </c>
      <c r="I85" s="9">
        <f>IF(G85="","",G85*H85)</f>
        <v/>
      </c>
      <c r="J85" s="8" t="n">
        <v>0</v>
      </c>
      <c r="K85" s="5">
        <f>IF(G85="","",IF(F85="","","1 "&amp;F85&amp;" = "&amp;TEXT(G85,"#,##0")&amp;" "&amp;E85))</f>
        <v/>
      </c>
      <c r="L85" s="5" t="n"/>
    </row>
    <row r="86">
      <c r="A86" s="5" t="n">
        <v>2085</v>
      </c>
      <c r="B86" s="6" t="inlineStr">
        <is>
          <t>Dom Glass</t>
        </is>
      </c>
      <c r="C86" s="6" t="inlineStr">
        <is>
          <t>Ring Glass</t>
        </is>
      </c>
      <c r="D86" s="6" t="inlineStr">
        <is>
          <t>Ravi Ring Glass Lid</t>
        </is>
      </c>
      <c r="E86" s="6" t="inlineStr">
        <is>
          <t>PCS</t>
        </is>
      </c>
      <c r="F86" s="6" t="inlineStr">
        <is>
          <t>Carton</t>
        </is>
      </c>
      <c r="G86" s="7" t="n">
        <v>2000</v>
      </c>
      <c r="H86" s="8" t="n">
        <v>1.6</v>
      </c>
      <c r="I86" s="9">
        <f>IF(G86="","",G86*H86)</f>
        <v/>
      </c>
      <c r="J86" s="8" t="n">
        <v>0</v>
      </c>
      <c r="K86" s="5">
        <f>IF(G86="","",IF(F86="","","1 "&amp;F86&amp;" = "&amp;TEXT(G86,"#,##0")&amp;" "&amp;E86))</f>
        <v/>
      </c>
      <c r="L86" s="5" t="n"/>
    </row>
    <row r="87">
      <c r="A87" s="5" t="n">
        <v>2086</v>
      </c>
      <c r="B87" s="6" t="inlineStr">
        <is>
          <t>Dom Glass</t>
        </is>
      </c>
      <c r="C87" s="6" t="inlineStr">
        <is>
          <t>Ring Glass</t>
        </is>
      </c>
      <c r="D87" s="6" t="inlineStr">
        <is>
          <t>12oz Spell Ring Glass</t>
        </is>
      </c>
      <c r="E87" s="6" t="inlineStr">
        <is>
          <t>PCS</t>
        </is>
      </c>
      <c r="F87" s="6" t="inlineStr">
        <is>
          <t>Carton</t>
        </is>
      </c>
      <c r="G87" s="7" t="n">
        <v>2000</v>
      </c>
      <c r="H87" s="8" t="n">
        <v>4</v>
      </c>
      <c r="I87" s="9">
        <f>IF(G87="","",G87*H87)</f>
        <v/>
      </c>
      <c r="J87" s="8" t="n">
        <v>0</v>
      </c>
      <c r="K87" s="5">
        <f>IF(G87="","",IF(F87="","","1 "&amp;F87&amp;" = "&amp;TEXT(G87,"#,##0")&amp;" "&amp;E87))</f>
        <v/>
      </c>
      <c r="L87" s="5" t="n"/>
    </row>
    <row r="88">
      <c r="A88" s="5" t="n">
        <v>2087</v>
      </c>
      <c r="B88" s="6" t="inlineStr">
        <is>
          <t>Dom Glass</t>
        </is>
      </c>
      <c r="C88" s="6" t="inlineStr">
        <is>
          <t>Ring Glass</t>
        </is>
      </c>
      <c r="D88" s="6" t="inlineStr">
        <is>
          <t>16oz Spell Ring Glass</t>
        </is>
      </c>
      <c r="E88" s="6" t="inlineStr">
        <is>
          <t>PCS</t>
        </is>
      </c>
      <c r="F88" s="6" t="inlineStr">
        <is>
          <t>Carton</t>
        </is>
      </c>
      <c r="G88" s="7" t="n">
        <v>2000</v>
      </c>
      <c r="H88" s="8" t="n">
        <v>4.1</v>
      </c>
      <c r="I88" s="9">
        <f>IF(G88="","",G88*H88)</f>
        <v/>
      </c>
      <c r="J88" s="8" t="n">
        <v>0</v>
      </c>
      <c r="K88" s="5">
        <f>IF(G88="","",IF(F88="","","1 "&amp;F88&amp;" = "&amp;TEXT(G88,"#,##0")&amp;" "&amp;E88))</f>
        <v/>
      </c>
      <c r="L88" s="5" t="n"/>
    </row>
    <row r="89">
      <c r="A89" s="5" t="n">
        <v>2088</v>
      </c>
      <c r="B89" s="6" t="inlineStr">
        <is>
          <t>Dom Glass</t>
        </is>
      </c>
      <c r="C89" s="6" t="inlineStr">
        <is>
          <t>Ring Glass</t>
        </is>
      </c>
      <c r="D89" s="6" t="inlineStr">
        <is>
          <t>Spell Ring Glass Lid</t>
        </is>
      </c>
      <c r="E89" s="6" t="inlineStr">
        <is>
          <t>PCS</t>
        </is>
      </c>
      <c r="F89" s="6" t="inlineStr">
        <is>
          <t>Carton</t>
        </is>
      </c>
      <c r="G89" s="7" t="n">
        <v>2000</v>
      </c>
      <c r="H89" s="8" t="n">
        <v>1.6</v>
      </c>
      <c r="I89" s="9">
        <f>IF(G89="","",G89*H89)</f>
        <v/>
      </c>
      <c r="J89" s="8" t="n">
        <v>0</v>
      </c>
      <c r="K89" s="5">
        <f>IF(G89="","",IF(F89="","","1 "&amp;F89&amp;" = "&amp;TEXT(G89,"#,##0")&amp;" "&amp;E89))</f>
        <v/>
      </c>
      <c r="L89" s="5" t="inlineStr">
        <is>
          <t>PDF: "Spiel Lid"</t>
        </is>
      </c>
    </row>
    <row r="90">
      <c r="A90" s="5" t="n">
        <v>2089</v>
      </c>
      <c r="B90" s="6" t="inlineStr">
        <is>
          <t>Dom Glass</t>
        </is>
      </c>
      <c r="C90" s="6" t="inlineStr">
        <is>
          <t>KR</t>
        </is>
      </c>
      <c r="D90" s="6" t="inlineStr">
        <is>
          <t>12oz KR Dom Glass</t>
        </is>
      </c>
      <c r="E90" s="6" t="inlineStr">
        <is>
          <t>PCS</t>
        </is>
      </c>
      <c r="F90" s="6" t="inlineStr">
        <is>
          <t>Carton</t>
        </is>
      </c>
      <c r="G90" s="7" t="n">
        <v>1000</v>
      </c>
      <c r="H90" s="8" t="n">
        <v>10</v>
      </c>
      <c r="I90" s="9">
        <f>IF(G90="","",G90*H90)</f>
        <v/>
      </c>
      <c r="J90" s="8" t="n">
        <v>0</v>
      </c>
      <c r="K90" s="5">
        <f>IF(G90="","",IF(F90="","","1 "&amp;F90&amp;" = "&amp;TEXT(G90,"#,##0")&amp;" "&amp;E90))</f>
        <v/>
      </c>
      <c r="L90" s="5" t="n"/>
    </row>
    <row r="91">
      <c r="A91" s="5" t="n">
        <v>2090</v>
      </c>
      <c r="B91" s="6" t="inlineStr">
        <is>
          <t>Dom Glass</t>
        </is>
      </c>
      <c r="C91" s="6" t="inlineStr">
        <is>
          <t>KR</t>
        </is>
      </c>
      <c r="D91" s="6" t="inlineStr">
        <is>
          <t>16oz KR Dom Glass</t>
        </is>
      </c>
      <c r="E91" s="6" t="inlineStr">
        <is>
          <t>PCS</t>
        </is>
      </c>
      <c r="F91" s="6" t="inlineStr">
        <is>
          <t>Carton</t>
        </is>
      </c>
      <c r="G91" s="7" t="n">
        <v>1000</v>
      </c>
      <c r="H91" s="8" t="n">
        <v>11</v>
      </c>
      <c r="I91" s="9">
        <f>IF(G91="","",G91*H91)</f>
        <v/>
      </c>
      <c r="J91" s="8" t="n">
        <v>0</v>
      </c>
      <c r="K91" s="5">
        <f>IF(G91="","",IF(F91="","","1 "&amp;F91&amp;" = "&amp;TEXT(G91,"#,##0")&amp;" "&amp;E91))</f>
        <v/>
      </c>
      <c r="L91" s="5" t="n"/>
    </row>
    <row r="92">
      <c r="A92" s="5" t="n">
        <v>2091</v>
      </c>
      <c r="B92" s="6" t="inlineStr">
        <is>
          <t>Dom Glass</t>
        </is>
      </c>
      <c r="C92" s="6" t="inlineStr">
        <is>
          <t>KR</t>
        </is>
      </c>
      <c r="D92" s="6" t="inlineStr">
        <is>
          <t>12oz KR Dom Glass Lid</t>
        </is>
      </c>
      <c r="E92" s="6" t="inlineStr">
        <is>
          <t>PCS</t>
        </is>
      </c>
      <c r="F92" s="6" t="inlineStr">
        <is>
          <t>Carton</t>
        </is>
      </c>
      <c r="G92" s="7" t="n">
        <v>1000</v>
      </c>
      <c r="H92" s="8" t="n">
        <v>3</v>
      </c>
      <c r="I92" s="9">
        <f>IF(G92="","",G92*H92)</f>
        <v/>
      </c>
      <c r="J92" s="8" t="n">
        <v>0</v>
      </c>
      <c r="K92" s="5">
        <f>IF(G92="","",IF(F92="","","1 "&amp;F92&amp;" = "&amp;TEXT(G92,"#,##0")&amp;" "&amp;E92))</f>
        <v/>
      </c>
      <c r="L92" s="5" t="n"/>
    </row>
    <row r="93">
      <c r="A93" s="5" t="n">
        <v>2092</v>
      </c>
      <c r="B93" s="6" t="inlineStr">
        <is>
          <t>Dom Glass</t>
        </is>
      </c>
      <c r="C93" s="6" t="inlineStr">
        <is>
          <t>Shalimar</t>
        </is>
      </c>
      <c r="D93" s="6" t="inlineStr">
        <is>
          <t>12oz Shalimar Dom Glass</t>
        </is>
      </c>
      <c r="E93" s="6" t="inlineStr">
        <is>
          <t>PCS</t>
        </is>
      </c>
      <c r="F93" s="6" t="inlineStr">
        <is>
          <t>Carton</t>
        </is>
      </c>
      <c r="G93" s="7" t="n">
        <v>1000</v>
      </c>
      <c r="H93" s="8" t="n">
        <v>7</v>
      </c>
      <c r="I93" s="9">
        <f>IF(G93="","",G93*H93)</f>
        <v/>
      </c>
      <c r="J93" s="8" t="n">
        <v>0</v>
      </c>
      <c r="K93" s="5">
        <f>IF(G93="","",IF(F93="","","1 "&amp;F93&amp;" = "&amp;TEXT(G93,"#,##0")&amp;" "&amp;E93))</f>
        <v/>
      </c>
      <c r="L93" s="5" t="n"/>
    </row>
    <row r="94">
      <c r="A94" s="5" t="n">
        <v>2093</v>
      </c>
      <c r="B94" s="6" t="inlineStr">
        <is>
          <t>Dom Glass</t>
        </is>
      </c>
      <c r="C94" s="6" t="inlineStr">
        <is>
          <t>Shalimar</t>
        </is>
      </c>
      <c r="D94" s="6" t="inlineStr">
        <is>
          <t>16oz Shalimar Dom Glass</t>
        </is>
      </c>
      <c r="E94" s="6" t="inlineStr">
        <is>
          <t>PCS</t>
        </is>
      </c>
      <c r="F94" s="6" t="inlineStr">
        <is>
          <t>Carton</t>
        </is>
      </c>
      <c r="G94" s="7" t="n">
        <v>1000</v>
      </c>
      <c r="H94" s="8" t="n">
        <v>8</v>
      </c>
      <c r="I94" s="9">
        <f>IF(G94="","",G94*H94)</f>
        <v/>
      </c>
      <c r="J94" s="8" t="n">
        <v>0</v>
      </c>
      <c r="K94" s="5">
        <f>IF(G94="","",IF(F94="","","1 "&amp;F94&amp;" = "&amp;TEXT(G94,"#,##0")&amp;" "&amp;E94))</f>
        <v/>
      </c>
      <c r="L94" s="5" t="n"/>
    </row>
    <row r="95">
      <c r="A95" s="5" t="n">
        <v>2094</v>
      </c>
      <c r="B95" s="6" t="inlineStr">
        <is>
          <t>Dom Glass</t>
        </is>
      </c>
      <c r="C95" s="6" t="inlineStr">
        <is>
          <t>Shalimar</t>
        </is>
      </c>
      <c r="D95" s="6" t="inlineStr">
        <is>
          <t>12oz Shalimar Dom Glass Lid</t>
        </is>
      </c>
      <c r="E95" s="6" t="inlineStr">
        <is>
          <t>PCS</t>
        </is>
      </c>
      <c r="F95" s="6" t="inlineStr">
        <is>
          <t>Carton</t>
        </is>
      </c>
      <c r="G95" s="7" t="n">
        <v>2000</v>
      </c>
      <c r="H95" s="8" t="n">
        <v>2.5</v>
      </c>
      <c r="I95" s="9">
        <f>IF(G95="","",G95*H95)</f>
        <v/>
      </c>
      <c r="J95" s="8" t="n">
        <v>0</v>
      </c>
      <c r="K95" s="5">
        <f>IF(G95="","",IF(F95="","","1 "&amp;F95&amp;" = "&amp;TEXT(G95,"#,##0")&amp;" "&amp;E95))</f>
        <v/>
      </c>
      <c r="L95" s="5" t="n"/>
    </row>
    <row r="96">
      <c r="A96" s="5" t="n">
        <v>2095</v>
      </c>
      <c r="B96" s="6" t="inlineStr">
        <is>
          <t>Dom Glass</t>
        </is>
      </c>
      <c r="C96" s="6" t="inlineStr">
        <is>
          <t>AMS</t>
        </is>
      </c>
      <c r="D96" s="6" t="inlineStr">
        <is>
          <t>12oz AMS Dom Glass</t>
        </is>
      </c>
      <c r="E96" s="6" t="inlineStr">
        <is>
          <t>PCS</t>
        </is>
      </c>
      <c r="F96" s="6" t="inlineStr">
        <is>
          <t>Carton</t>
        </is>
      </c>
      <c r="G96" s="7" t="n">
        <v>1000</v>
      </c>
      <c r="H96" s="8" t="n">
        <v>7</v>
      </c>
      <c r="I96" s="9">
        <f>IF(G96="","",G96*H96)</f>
        <v/>
      </c>
      <c r="J96" s="8" t="n">
        <v>0</v>
      </c>
      <c r="K96" s="5">
        <f>IF(G96="","",IF(F96="","","1 "&amp;F96&amp;" = "&amp;TEXT(G96,"#,##0")&amp;" "&amp;E96))</f>
        <v/>
      </c>
      <c r="L96" s="5" t="n"/>
    </row>
    <row r="97">
      <c r="A97" s="5" t="n">
        <v>2096</v>
      </c>
      <c r="B97" s="6" t="inlineStr">
        <is>
          <t>Dom Glass</t>
        </is>
      </c>
      <c r="C97" s="6" t="inlineStr">
        <is>
          <t>AMS</t>
        </is>
      </c>
      <c r="D97" s="6" t="inlineStr">
        <is>
          <t>16oz AMS Dom Glass</t>
        </is>
      </c>
      <c r="E97" s="6" t="inlineStr">
        <is>
          <t>PCS</t>
        </is>
      </c>
      <c r="F97" s="6" t="inlineStr">
        <is>
          <t>Carton</t>
        </is>
      </c>
      <c r="G97" s="7" t="n">
        <v>1000</v>
      </c>
      <c r="H97" s="8" t="n">
        <v>8</v>
      </c>
      <c r="I97" s="9">
        <f>IF(G97="","",G97*H97)</f>
        <v/>
      </c>
      <c r="J97" s="8" t="n">
        <v>0</v>
      </c>
      <c r="K97" s="5">
        <f>IF(G97="","",IF(F97="","","1 "&amp;F97&amp;" = "&amp;TEXT(G97,"#,##0")&amp;" "&amp;E97))</f>
        <v/>
      </c>
      <c r="L97" s="5" t="n"/>
    </row>
    <row r="98">
      <c r="A98" s="5" t="n">
        <v>2097</v>
      </c>
      <c r="B98" s="6" t="inlineStr">
        <is>
          <t>Dom Glass</t>
        </is>
      </c>
      <c r="C98" s="6" t="inlineStr">
        <is>
          <t>AMS</t>
        </is>
      </c>
      <c r="D98" s="6" t="inlineStr">
        <is>
          <t>12oz AMS Dom Glass Lid</t>
        </is>
      </c>
      <c r="E98" s="6" t="inlineStr">
        <is>
          <t>PCS</t>
        </is>
      </c>
      <c r="F98" s="6" t="inlineStr">
        <is>
          <t>Carton</t>
        </is>
      </c>
      <c r="G98" s="7" t="n">
        <v>2000</v>
      </c>
      <c r="H98" s="8" t="n">
        <v>2.5</v>
      </c>
      <c r="I98" s="9">
        <f>IF(G98="","",G98*H98)</f>
        <v/>
      </c>
      <c r="J98" s="8" t="n">
        <v>0</v>
      </c>
      <c r="K98" s="5">
        <f>IF(G98="","",IF(F98="","","1 "&amp;F98&amp;" = "&amp;TEXT(G98,"#,##0")&amp;" "&amp;E98))</f>
        <v/>
      </c>
      <c r="L98" s="5" t="n"/>
    </row>
    <row r="99">
      <c r="A99" s="5" t="n">
        <v>2098</v>
      </c>
      <c r="B99" s="6" t="inlineStr">
        <is>
          <t>Dom Glass</t>
        </is>
      </c>
      <c r="C99" s="6" t="inlineStr">
        <is>
          <t>Kore</t>
        </is>
      </c>
      <c r="D99" s="6" t="inlineStr">
        <is>
          <t>12oz Kore Dom Glass</t>
        </is>
      </c>
      <c r="E99" s="6" t="inlineStr">
        <is>
          <t>PCS</t>
        </is>
      </c>
      <c r="F99" s="6" t="inlineStr">
        <is>
          <t>Carton</t>
        </is>
      </c>
      <c r="G99" s="7" t="n">
        <v>1000</v>
      </c>
      <c r="H99" s="8" t="n">
        <v>9</v>
      </c>
      <c r="I99" s="9">
        <f>IF(G99="","",G99*H99)</f>
        <v/>
      </c>
      <c r="J99" s="8" t="n">
        <v>0</v>
      </c>
      <c r="K99" s="5">
        <f>IF(G99="","",IF(F99="","","1 "&amp;F99&amp;" = "&amp;TEXT(G99,"#,##0")&amp;" "&amp;E99))</f>
        <v/>
      </c>
      <c r="L99" s="5" t="n"/>
    </row>
    <row r="100">
      <c r="A100" s="5" t="n">
        <v>2099</v>
      </c>
      <c r="B100" s="6" t="inlineStr">
        <is>
          <t>Dom Glass</t>
        </is>
      </c>
      <c r="C100" s="6" t="inlineStr">
        <is>
          <t>Kore</t>
        </is>
      </c>
      <c r="D100" s="6" t="inlineStr">
        <is>
          <t>16oz Kore Dom Glass</t>
        </is>
      </c>
      <c r="E100" s="6" t="inlineStr">
        <is>
          <t>PCS</t>
        </is>
      </c>
      <c r="F100" s="6" t="inlineStr">
        <is>
          <t>Carton</t>
        </is>
      </c>
      <c r="G100" s="7" t="n">
        <v>1000</v>
      </c>
      <c r="H100" s="8" t="n">
        <v>10</v>
      </c>
      <c r="I100" s="9">
        <f>IF(G100="","",G100*H100)</f>
        <v/>
      </c>
      <c r="J100" s="8" t="n">
        <v>0</v>
      </c>
      <c r="K100" s="5">
        <f>IF(G100="","",IF(F100="","","1 "&amp;F100&amp;" = "&amp;TEXT(G100,"#,##0")&amp;" "&amp;E100))</f>
        <v/>
      </c>
      <c r="L100" s="5" t="n"/>
    </row>
    <row r="101">
      <c r="A101" s="5" t="n">
        <v>2100</v>
      </c>
      <c r="B101" s="6" t="inlineStr">
        <is>
          <t>Dom Glass</t>
        </is>
      </c>
      <c r="C101" s="6" t="inlineStr">
        <is>
          <t>Kore</t>
        </is>
      </c>
      <c r="D101" s="6" t="inlineStr">
        <is>
          <t>12oz Kore Dom Glass Lid</t>
        </is>
      </c>
      <c r="E101" s="6" t="inlineStr">
        <is>
          <t>PCS</t>
        </is>
      </c>
      <c r="F101" s="6" t="inlineStr">
        <is>
          <t>Carton</t>
        </is>
      </c>
      <c r="G101" s="7" t="n">
        <v>1000</v>
      </c>
      <c r="H101" s="8" t="n">
        <v>3</v>
      </c>
      <c r="I101" s="9">
        <f>IF(G101="","",G101*H101)</f>
        <v/>
      </c>
      <c r="J101" s="8" t="n">
        <v>0</v>
      </c>
      <c r="K101" s="5">
        <f>IF(G101="","",IF(F101="","","1 "&amp;F101&amp;" = "&amp;TEXT(G101,"#,##0")&amp;" "&amp;E101))</f>
        <v/>
      </c>
      <c r="L101" s="5" t="n"/>
    </row>
    <row r="102">
      <c r="A102" s="5" t="n">
        <v>2101</v>
      </c>
      <c r="B102" s="6" t="inlineStr">
        <is>
          <t>Dom Glass</t>
        </is>
      </c>
      <c r="C102" s="6" t="inlineStr">
        <is>
          <t>World Pack</t>
        </is>
      </c>
      <c r="D102" s="6" t="inlineStr">
        <is>
          <t>09oz World Pack Dom Glass</t>
        </is>
      </c>
      <c r="E102" s="6" t="inlineStr">
        <is>
          <t>PCS</t>
        </is>
      </c>
      <c r="F102" s="6" t="inlineStr">
        <is>
          <t>Carton</t>
        </is>
      </c>
      <c r="G102" s="7" t="n">
        <v>1000</v>
      </c>
      <c r="H102" s="8" t="n">
        <v>9</v>
      </c>
      <c r="I102" s="9">
        <f>IF(G102="","",G102*H102)</f>
        <v/>
      </c>
      <c r="J102" s="8" t="n">
        <v>0</v>
      </c>
      <c r="K102" s="5">
        <f>IF(G102="","",IF(F102="","","1 "&amp;F102&amp;" = "&amp;TEXT(G102,"#,##0")&amp;" "&amp;E102))</f>
        <v/>
      </c>
      <c r="L102" s="5" t="n"/>
    </row>
    <row r="103">
      <c r="A103" s="5" t="n">
        <v>2102</v>
      </c>
      <c r="B103" s="6" t="inlineStr">
        <is>
          <t>Dom Glass</t>
        </is>
      </c>
      <c r="C103" s="6" t="inlineStr">
        <is>
          <t>World Pack</t>
        </is>
      </c>
      <c r="D103" s="6" t="inlineStr">
        <is>
          <t>12oz World Pack Dom Glass</t>
        </is>
      </c>
      <c r="E103" s="6" t="inlineStr">
        <is>
          <t>PCS</t>
        </is>
      </c>
      <c r="F103" s="6" t="inlineStr">
        <is>
          <t>Carton</t>
        </is>
      </c>
      <c r="G103" s="7" t="n">
        <v>1000</v>
      </c>
      <c r="H103" s="8" t="n">
        <v>10</v>
      </c>
      <c r="I103" s="9">
        <f>IF(G103="","",G103*H103)</f>
        <v/>
      </c>
      <c r="J103" s="8" t="n">
        <v>0</v>
      </c>
      <c r="K103" s="5">
        <f>IF(G103="","",IF(F103="","","1 "&amp;F103&amp;" = "&amp;TEXT(G103,"#,##0")&amp;" "&amp;E103))</f>
        <v/>
      </c>
      <c r="L103" s="5" t="n"/>
    </row>
    <row r="104">
      <c r="A104" s="5" t="n">
        <v>2103</v>
      </c>
      <c r="B104" s="6" t="inlineStr">
        <is>
          <t>Dom Glass</t>
        </is>
      </c>
      <c r="C104" s="6" t="inlineStr">
        <is>
          <t>World Pack</t>
        </is>
      </c>
      <c r="D104" s="6" t="inlineStr">
        <is>
          <t>16oz World Pack Dom Glass</t>
        </is>
      </c>
      <c r="E104" s="6" t="inlineStr">
        <is>
          <t>PCS</t>
        </is>
      </c>
      <c r="F104" s="6" t="inlineStr">
        <is>
          <t>Carton</t>
        </is>
      </c>
      <c r="G104" s="7" t="n">
        <v>1000</v>
      </c>
      <c r="H104" s="8" t="n">
        <v>11</v>
      </c>
      <c r="I104" s="9">
        <f>IF(G104="","",G104*H104)</f>
        <v/>
      </c>
      <c r="J104" s="8" t="n">
        <v>0</v>
      </c>
      <c r="K104" s="5">
        <f>IF(G104="","",IF(F104="","","1 "&amp;F104&amp;" = "&amp;TEXT(G104,"#,##0")&amp;" "&amp;E104))</f>
        <v/>
      </c>
      <c r="L104" s="5" t="n"/>
    </row>
    <row r="105">
      <c r="A105" s="5" t="n">
        <v>2104</v>
      </c>
      <c r="B105" s="6" t="inlineStr">
        <is>
          <t>Dom Glass</t>
        </is>
      </c>
      <c r="C105" s="6" t="inlineStr">
        <is>
          <t>World Pack</t>
        </is>
      </c>
      <c r="D105" s="6" t="inlineStr">
        <is>
          <t>12oz World Pack Dom Glass Lid</t>
        </is>
      </c>
      <c r="E105" s="6" t="inlineStr">
        <is>
          <t>PCS</t>
        </is>
      </c>
      <c r="F105" s="6" t="inlineStr">
        <is>
          <t>Carton</t>
        </is>
      </c>
      <c r="G105" s="7" t="n">
        <v>2000</v>
      </c>
      <c r="H105" s="8" t="n">
        <v>3</v>
      </c>
      <c r="I105" s="9">
        <f>IF(G105="","",G105*H105)</f>
        <v/>
      </c>
      <c r="J105" s="8" t="n">
        <v>0</v>
      </c>
      <c r="K105" s="5">
        <f>IF(G105="","",IF(F105="","","1 "&amp;F105&amp;" = "&amp;TEXT(G105,"#,##0")&amp;" "&amp;E105))</f>
        <v/>
      </c>
      <c r="L105" s="5" t="n"/>
    </row>
    <row r="106">
      <c r="A106" s="5" t="n">
        <v>2105</v>
      </c>
      <c r="B106" s="6" t="inlineStr">
        <is>
          <t>Dom Glass</t>
        </is>
      </c>
      <c r="C106" s="6" t="inlineStr">
        <is>
          <t>Diamond</t>
        </is>
      </c>
      <c r="D106" s="6" t="inlineStr">
        <is>
          <t>08oz Diamond Dom Glass</t>
        </is>
      </c>
      <c r="E106" s="6" t="inlineStr">
        <is>
          <t>PCS</t>
        </is>
      </c>
      <c r="F106" s="6" t="inlineStr">
        <is>
          <t>Carton</t>
        </is>
      </c>
      <c r="G106" s="7" t="n">
        <v>1000</v>
      </c>
      <c r="H106" s="8" t="n">
        <v>6.5</v>
      </c>
      <c r="I106" s="9">
        <f>IF(G106="","",G106*H106)</f>
        <v/>
      </c>
      <c r="J106" s="8" t="n">
        <v>0</v>
      </c>
      <c r="K106" s="5">
        <f>IF(G106="","",IF(F106="","","1 "&amp;F106&amp;" = "&amp;TEXT(G106,"#,##0")&amp;" "&amp;E106))</f>
        <v/>
      </c>
      <c r="L106" s="5" t="n"/>
    </row>
    <row r="107">
      <c r="A107" s="5" t="n">
        <v>2106</v>
      </c>
      <c r="B107" s="6" t="inlineStr">
        <is>
          <t>Dom Glass</t>
        </is>
      </c>
      <c r="C107" s="6" t="inlineStr">
        <is>
          <t>Diamond</t>
        </is>
      </c>
      <c r="D107" s="6" t="inlineStr">
        <is>
          <t>12oz Diamond Dom Glass</t>
        </is>
      </c>
      <c r="E107" s="6" t="inlineStr">
        <is>
          <t>PCS</t>
        </is>
      </c>
      <c r="F107" s="6" t="inlineStr">
        <is>
          <t>Carton</t>
        </is>
      </c>
      <c r="G107" s="7" t="n">
        <v>1000</v>
      </c>
      <c r="H107" s="8" t="n">
        <v>7</v>
      </c>
      <c r="I107" s="9">
        <f>IF(G107="","",G107*H107)</f>
        <v/>
      </c>
      <c r="J107" s="8" t="n">
        <v>0</v>
      </c>
      <c r="K107" s="5">
        <f>IF(G107="","",IF(F107="","","1 "&amp;F107&amp;" = "&amp;TEXT(G107,"#,##0")&amp;" "&amp;E107))</f>
        <v/>
      </c>
      <c r="L107" s="5" t="n"/>
    </row>
    <row r="108">
      <c r="A108" s="5" t="n">
        <v>2107</v>
      </c>
      <c r="B108" s="6" t="inlineStr">
        <is>
          <t>Dom Glass</t>
        </is>
      </c>
      <c r="C108" s="6" t="inlineStr">
        <is>
          <t>Diamond</t>
        </is>
      </c>
      <c r="D108" s="6" t="inlineStr">
        <is>
          <t>16oz Diamond Dom Glass</t>
        </is>
      </c>
      <c r="E108" s="6" t="inlineStr">
        <is>
          <t>PCS</t>
        </is>
      </c>
      <c r="F108" s="6" t="inlineStr">
        <is>
          <t>Carton</t>
        </is>
      </c>
      <c r="G108" s="7" t="n">
        <v>1000</v>
      </c>
      <c r="H108" s="8" t="n">
        <v>9</v>
      </c>
      <c r="I108" s="9">
        <f>IF(G108="","",G108*H108)</f>
        <v/>
      </c>
      <c r="J108" s="8" t="n">
        <v>0</v>
      </c>
      <c r="K108" s="5">
        <f>IF(G108="","",IF(F108="","","1 "&amp;F108&amp;" = "&amp;TEXT(G108,"#,##0")&amp;" "&amp;E108))</f>
        <v/>
      </c>
      <c r="L108" s="5" t="n"/>
    </row>
    <row r="109">
      <c r="A109" s="5" t="n">
        <v>2108</v>
      </c>
      <c r="B109" s="6" t="inlineStr">
        <is>
          <t>Dom Glass</t>
        </is>
      </c>
      <c r="C109" s="6" t="inlineStr">
        <is>
          <t>Diamond</t>
        </is>
      </c>
      <c r="D109" s="6" t="inlineStr">
        <is>
          <t>Diamond Dom Glass Lid</t>
        </is>
      </c>
      <c r="E109" s="6" t="inlineStr">
        <is>
          <t>PCS</t>
        </is>
      </c>
      <c r="F109" s="6" t="inlineStr">
        <is>
          <t>Carton</t>
        </is>
      </c>
      <c r="G109" s="7" t="n">
        <v>1000</v>
      </c>
      <c r="H109" s="8" t="n">
        <v>2</v>
      </c>
      <c r="I109" s="9">
        <f>IF(G109="","",G109*H109)</f>
        <v/>
      </c>
      <c r="J109" s="8" t="n">
        <v>0</v>
      </c>
      <c r="K109" s="5">
        <f>IF(G109="","",IF(F109="","","1 "&amp;F109&amp;" = "&amp;TEXT(G109,"#,##0")&amp;" "&amp;E109))</f>
        <v/>
      </c>
      <c r="L109" s="5" t="n"/>
    </row>
    <row r="110">
      <c r="A110" s="5" t="n">
        <v>2109</v>
      </c>
      <c r="B110" s="6" t="inlineStr">
        <is>
          <t>Faloda Glass</t>
        </is>
      </c>
      <c r="C110" s="6" t="inlineStr">
        <is>
          <t>Faloda Glass</t>
        </is>
      </c>
      <c r="D110" s="6" t="inlineStr">
        <is>
          <t>330ml Ravi Faloda Glass</t>
        </is>
      </c>
      <c r="E110" s="6" t="inlineStr">
        <is>
          <t>PCS</t>
        </is>
      </c>
      <c r="F110" s="6" t="inlineStr">
        <is>
          <t>Carton</t>
        </is>
      </c>
      <c r="G110" s="7" t="n">
        <v>2000</v>
      </c>
      <c r="H110" s="8" t="n">
        <v>4.5</v>
      </c>
      <c r="I110" s="9">
        <f>IF(G110="","",G110*H110)</f>
        <v/>
      </c>
      <c r="J110" s="8" t="n">
        <v>0</v>
      </c>
      <c r="K110" s="5">
        <f>IF(G110="","",IF(F110="","","1 "&amp;F110&amp;" = "&amp;TEXT(G110,"#,##0")&amp;" "&amp;E110))</f>
        <v/>
      </c>
      <c r="L110" s="10" t="inlineStr">
        <is>
          <t>Check: 330ml ki price 300ml se kam hai</t>
        </is>
      </c>
    </row>
    <row r="111">
      <c r="A111" s="5" t="n">
        <v>2110</v>
      </c>
      <c r="B111" s="6" t="inlineStr">
        <is>
          <t>Faloda Glass</t>
        </is>
      </c>
      <c r="C111" s="6" t="inlineStr">
        <is>
          <t>Faloda Glass</t>
        </is>
      </c>
      <c r="D111" s="6" t="inlineStr">
        <is>
          <t>330ml Spell Faloda Glass</t>
        </is>
      </c>
      <c r="E111" s="6" t="inlineStr">
        <is>
          <t>PCS</t>
        </is>
      </c>
      <c r="F111" s="6" t="inlineStr">
        <is>
          <t>Carton</t>
        </is>
      </c>
      <c r="G111" s="7" t="n">
        <v>2000</v>
      </c>
      <c r="H111" s="8" t="n">
        <v>6</v>
      </c>
      <c r="I111" s="9">
        <f>IF(G111="","",G111*H111)</f>
        <v/>
      </c>
      <c r="J111" s="8" t="n">
        <v>0</v>
      </c>
      <c r="K111" s="5">
        <f>IF(G111="","",IF(F111="","","1 "&amp;F111&amp;" = "&amp;TEXT(G111,"#,##0")&amp;" "&amp;E111))</f>
        <v/>
      </c>
      <c r="L111" s="10" t="inlineStr">
        <is>
          <t>Check: 330ml ki price 300ml se kam hai</t>
        </is>
      </c>
    </row>
    <row r="112">
      <c r="A112" s="5" t="n">
        <v>2111</v>
      </c>
      <c r="B112" s="6" t="inlineStr">
        <is>
          <t>Faloda Glass</t>
        </is>
      </c>
      <c r="C112" s="6" t="inlineStr">
        <is>
          <t>Faloda Glass</t>
        </is>
      </c>
      <c r="D112" s="6" t="inlineStr">
        <is>
          <t>300ml Ravi Faloda Glass</t>
        </is>
      </c>
      <c r="E112" s="6" t="inlineStr">
        <is>
          <t>PCS</t>
        </is>
      </c>
      <c r="F112" s="6" t="inlineStr">
        <is>
          <t>Carton</t>
        </is>
      </c>
      <c r="G112" s="7" t="n">
        <v>2000</v>
      </c>
      <c r="H112" s="8" t="n">
        <v>9</v>
      </c>
      <c r="I112" s="9">
        <f>IF(G112="","",G112*H112)</f>
        <v/>
      </c>
      <c r="J112" s="8" t="n">
        <v>0</v>
      </c>
      <c r="K112" s="5">
        <f>IF(G112="","",IF(F112="","","1 "&amp;F112&amp;" = "&amp;TEXT(G112,"#,##0")&amp;" "&amp;E112))</f>
        <v/>
      </c>
      <c r="L112" s="5" t="n"/>
    </row>
    <row r="113">
      <c r="A113" s="5" t="n">
        <v>2112</v>
      </c>
      <c r="B113" s="6" t="inlineStr">
        <is>
          <t>Faloda Glass</t>
        </is>
      </c>
      <c r="C113" s="6" t="inlineStr">
        <is>
          <t>Faloda Glass</t>
        </is>
      </c>
      <c r="D113" s="6" t="inlineStr">
        <is>
          <t>300ml Spell Faloda Glass</t>
        </is>
      </c>
      <c r="E113" s="6" t="inlineStr">
        <is>
          <t>PCS</t>
        </is>
      </c>
      <c r="F113" s="6" t="inlineStr">
        <is>
          <t>Carton</t>
        </is>
      </c>
      <c r="G113" s="7" t="n">
        <v>1000</v>
      </c>
      <c r="H113" s="8" t="n">
        <v>9</v>
      </c>
      <c r="I113" s="9">
        <f>IF(G113="","",G113*H113)</f>
        <v/>
      </c>
      <c r="J113" s="8" t="n">
        <v>0</v>
      </c>
      <c r="K113" s="5">
        <f>IF(G113="","",IF(F113="","","1 "&amp;F113&amp;" = "&amp;TEXT(G113,"#,##0")&amp;" "&amp;E113))</f>
        <v/>
      </c>
      <c r="L113" s="5" t="n"/>
    </row>
    <row r="114">
      <c r="A114" s="5" t="n">
        <v>2113</v>
      </c>
      <c r="B114" s="6" t="inlineStr">
        <is>
          <t>Faloda Glass</t>
        </is>
      </c>
      <c r="C114" s="6" t="inlineStr">
        <is>
          <t>Faloda Glass</t>
        </is>
      </c>
      <c r="D114" s="6" t="inlineStr">
        <is>
          <t>300ml Ravi Faloda Glass Lid</t>
        </is>
      </c>
      <c r="E114" s="6" t="inlineStr">
        <is>
          <t>PCS</t>
        </is>
      </c>
      <c r="F114" s="6" t="inlineStr">
        <is>
          <t>Carton</t>
        </is>
      </c>
      <c r="G114" s="7" t="n">
        <v>2000</v>
      </c>
      <c r="H114" s="8" t="n">
        <v>3</v>
      </c>
      <c r="I114" s="9">
        <f>IF(G114="","",G114*H114)</f>
        <v/>
      </c>
      <c r="J114" s="8" t="n">
        <v>0</v>
      </c>
      <c r="K114" s="5">
        <f>IF(G114="","",IF(F114="","","1 "&amp;F114&amp;" = "&amp;TEXT(G114,"#,##0")&amp;" "&amp;E114))</f>
        <v/>
      </c>
      <c r="L114" s="5" t="n"/>
    </row>
    <row r="115">
      <c r="A115" s="5" t="n">
        <v>2114</v>
      </c>
      <c r="B115" s="6" t="inlineStr">
        <is>
          <t>Plastic Glass</t>
        </is>
      </c>
      <c r="C115" s="6" t="inlineStr">
        <is>
          <t>04oz Glass</t>
        </is>
      </c>
      <c r="D115" s="6" t="inlineStr">
        <is>
          <t>04oz CP Glass</t>
        </is>
      </c>
      <c r="E115" s="6" t="inlineStr">
        <is>
          <t>PCS</t>
        </is>
      </c>
      <c r="F115" s="6" t="inlineStr">
        <is>
          <t>Carton</t>
        </is>
      </c>
      <c r="G115" s="7" t="n">
        <v>5000</v>
      </c>
      <c r="H115" s="8" t="n">
        <v>1.2</v>
      </c>
      <c r="I115" s="9">
        <f>IF(G115="","",G115*H115)</f>
        <v/>
      </c>
      <c r="J115" s="8" t="n">
        <v>0</v>
      </c>
      <c r="K115" s="5">
        <f>IF(G115="","",IF(F115="","","1 "&amp;F115&amp;" = "&amp;TEXT(G115,"#,##0")&amp;" "&amp;E115))</f>
        <v/>
      </c>
      <c r="L115" s="5" t="n"/>
    </row>
    <row r="116">
      <c r="A116" s="5" t="n">
        <v>2115</v>
      </c>
      <c r="B116" s="6" t="inlineStr">
        <is>
          <t>Plastic Glass</t>
        </is>
      </c>
      <c r="C116" s="6" t="inlineStr">
        <is>
          <t>04oz Glass</t>
        </is>
      </c>
      <c r="D116" s="6" t="inlineStr">
        <is>
          <t>04oz Sarina Glass</t>
        </is>
      </c>
      <c r="E116" s="6" t="inlineStr">
        <is>
          <t>PCS</t>
        </is>
      </c>
      <c r="F116" s="6" t="inlineStr">
        <is>
          <t>Carton</t>
        </is>
      </c>
      <c r="G116" s="7" t="n">
        <v>5000</v>
      </c>
      <c r="H116" s="8" t="n">
        <v>1.2</v>
      </c>
      <c r="I116" s="9">
        <f>IF(G116="","",G116*H116)</f>
        <v/>
      </c>
      <c r="J116" s="8" t="n">
        <v>0</v>
      </c>
      <c r="K116" s="5">
        <f>IF(G116="","",IF(F116="","","1 "&amp;F116&amp;" = "&amp;TEXT(G116,"#,##0")&amp;" "&amp;E116))</f>
        <v/>
      </c>
      <c r="L116" s="5" t="n"/>
    </row>
    <row r="117">
      <c r="A117" s="5" t="n">
        <v>2116</v>
      </c>
      <c r="B117" s="6" t="inlineStr">
        <is>
          <t>Plastic Glass</t>
        </is>
      </c>
      <c r="C117" s="6" t="inlineStr">
        <is>
          <t>04oz Glass</t>
        </is>
      </c>
      <c r="D117" s="6" t="inlineStr">
        <is>
          <t>04oz Sarina M Glass</t>
        </is>
      </c>
      <c r="E117" s="6" t="inlineStr">
        <is>
          <t>PCS</t>
        </is>
      </c>
      <c r="F117" s="6" t="inlineStr">
        <is>
          <t>Carton</t>
        </is>
      </c>
      <c r="G117" s="7" t="n">
        <v>5000</v>
      </c>
      <c r="H117" s="8" t="n">
        <v>1.2</v>
      </c>
      <c r="I117" s="9">
        <f>IF(G117="","",G117*H117)</f>
        <v/>
      </c>
      <c r="J117" s="8" t="n">
        <v>0</v>
      </c>
      <c r="K117" s="5">
        <f>IF(G117="","",IF(F117="","","1 "&amp;F117&amp;" = "&amp;TEXT(G117,"#,##0")&amp;" "&amp;E117))</f>
        <v/>
      </c>
      <c r="L117" s="5" t="n"/>
    </row>
    <row r="118">
      <c r="A118" s="5" t="n">
        <v>2117</v>
      </c>
      <c r="B118" s="6" t="inlineStr">
        <is>
          <t>Plastic Glass</t>
        </is>
      </c>
      <c r="C118" s="6" t="inlineStr">
        <is>
          <t>04oz Glass</t>
        </is>
      </c>
      <c r="D118" s="6" t="inlineStr">
        <is>
          <t>04oz Easy Cary Glass</t>
        </is>
      </c>
      <c r="E118" s="6" t="inlineStr">
        <is>
          <t>PCS</t>
        </is>
      </c>
      <c r="F118" s="6" t="inlineStr">
        <is>
          <t>Carton</t>
        </is>
      </c>
      <c r="G118" s="7" t="n">
        <v>4000</v>
      </c>
      <c r="H118" s="8" t="n">
        <v>1.2</v>
      </c>
      <c r="I118" s="9">
        <f>IF(G118="","",G118*H118)</f>
        <v/>
      </c>
      <c r="J118" s="8" t="n">
        <v>0</v>
      </c>
      <c r="K118" s="5">
        <f>IF(G118="","",IF(F118="","","1 "&amp;F118&amp;" = "&amp;TEXT(G118,"#,##0")&amp;" "&amp;E118))</f>
        <v/>
      </c>
      <c r="L118" s="5" t="n"/>
    </row>
    <row r="119">
      <c r="A119" s="5" t="n">
        <v>2118</v>
      </c>
      <c r="B119" s="6" t="inlineStr">
        <is>
          <t>Plastic Glass</t>
        </is>
      </c>
      <c r="C119" s="6" t="inlineStr">
        <is>
          <t>04oz Glass</t>
        </is>
      </c>
      <c r="D119" s="6" t="inlineStr">
        <is>
          <t>04oz Easy Cary M Glass</t>
        </is>
      </c>
      <c r="E119" s="6" t="inlineStr">
        <is>
          <t>PCS</t>
        </is>
      </c>
      <c r="F119" s="6" t="inlineStr">
        <is>
          <t>Carton</t>
        </is>
      </c>
      <c r="G119" s="7" t="n">
        <v>4000</v>
      </c>
      <c r="H119" s="8" t="n">
        <v>1.2</v>
      </c>
      <c r="I119" s="9">
        <f>IF(G119="","",G119*H119)</f>
        <v/>
      </c>
      <c r="J119" s="8" t="n">
        <v>0</v>
      </c>
      <c r="K119" s="5">
        <f>IF(G119="","",IF(F119="","","1 "&amp;F119&amp;" = "&amp;TEXT(G119,"#,##0")&amp;" "&amp;E119))</f>
        <v/>
      </c>
      <c r="L119" s="5" t="n"/>
    </row>
    <row r="120">
      <c r="A120" s="5" t="n">
        <v>2119</v>
      </c>
      <c r="B120" s="6" t="inlineStr">
        <is>
          <t>Plastic Glass</t>
        </is>
      </c>
      <c r="C120" s="6" t="inlineStr">
        <is>
          <t>04oz Glass</t>
        </is>
      </c>
      <c r="D120" s="6" t="inlineStr">
        <is>
          <t>04oz Shalimar Glass</t>
        </is>
      </c>
      <c r="E120" s="6" t="inlineStr">
        <is>
          <t>PCS</t>
        </is>
      </c>
      <c r="F120" s="6" t="inlineStr">
        <is>
          <t>Carton</t>
        </is>
      </c>
      <c r="G120" s="7" t="n">
        <v>4000</v>
      </c>
      <c r="H120" s="8" t="n">
        <v>1.2</v>
      </c>
      <c r="I120" s="9">
        <f>IF(G120="","",G120*H120)</f>
        <v/>
      </c>
      <c r="J120" s="8" t="n">
        <v>0</v>
      </c>
      <c r="K120" s="5">
        <f>IF(G120="","",IF(F120="","","1 "&amp;F120&amp;" = "&amp;TEXT(G120,"#,##0")&amp;" "&amp;E120))</f>
        <v/>
      </c>
      <c r="L120" s="5" t="n"/>
    </row>
    <row r="121">
      <c r="A121" s="5" t="n">
        <v>2120</v>
      </c>
      <c r="B121" s="6" t="inlineStr">
        <is>
          <t>Plastic Glass</t>
        </is>
      </c>
      <c r="C121" s="6" t="inlineStr">
        <is>
          <t>04oz Glass</t>
        </is>
      </c>
      <c r="D121" s="6" t="inlineStr">
        <is>
          <t>04oz Ecopack Glass</t>
        </is>
      </c>
      <c r="E121" s="6" t="inlineStr">
        <is>
          <t>PCS</t>
        </is>
      </c>
      <c r="F121" s="6" t="inlineStr">
        <is>
          <t>Carton</t>
        </is>
      </c>
      <c r="G121" s="7" t="n">
        <v>5000</v>
      </c>
      <c r="H121" s="8" t="n">
        <v>1.2</v>
      </c>
      <c r="I121" s="9">
        <f>IF(G121="","",G121*H121)</f>
        <v/>
      </c>
      <c r="J121" s="8" t="n">
        <v>0</v>
      </c>
      <c r="K121" s="5">
        <f>IF(G121="","",IF(F121="","","1 "&amp;F121&amp;" = "&amp;TEXT(G121,"#,##0")&amp;" "&amp;E121))</f>
        <v/>
      </c>
      <c r="L121" s="5" t="n"/>
    </row>
    <row r="122">
      <c r="A122" s="5" t="n">
        <v>2121</v>
      </c>
      <c r="B122" s="6" t="inlineStr">
        <is>
          <t>Plastic Glass</t>
        </is>
      </c>
      <c r="C122" s="6" t="inlineStr">
        <is>
          <t>04oz Glass</t>
        </is>
      </c>
      <c r="D122" s="6" t="inlineStr">
        <is>
          <t>04oz Ravi Glass</t>
        </is>
      </c>
      <c r="E122" s="6" t="inlineStr">
        <is>
          <t>PCS</t>
        </is>
      </c>
      <c r="F122" s="6" t="inlineStr">
        <is>
          <t>Carton</t>
        </is>
      </c>
      <c r="G122" s="7" t="n">
        <v>4000</v>
      </c>
      <c r="H122" s="8" t="n">
        <v>1.2</v>
      </c>
      <c r="I122" s="9">
        <f>IF(G122="","",G122*H122)</f>
        <v/>
      </c>
      <c r="J122" s="8" t="n">
        <v>0</v>
      </c>
      <c r="K122" s="5">
        <f>IF(G122="","",IF(F122="","","1 "&amp;F122&amp;" = "&amp;TEXT(G122,"#,##0")&amp;" "&amp;E122))</f>
        <v/>
      </c>
      <c r="L122" s="5" t="n"/>
    </row>
    <row r="123">
      <c r="A123" s="5" t="n">
        <v>2122</v>
      </c>
      <c r="B123" s="6" t="inlineStr">
        <is>
          <t>Plastic Glass</t>
        </is>
      </c>
      <c r="C123" s="6" t="inlineStr">
        <is>
          <t>04oz Glass</t>
        </is>
      </c>
      <c r="D123" s="6" t="inlineStr">
        <is>
          <t>04oz Ravi M Glass</t>
        </is>
      </c>
      <c r="E123" s="6" t="inlineStr">
        <is>
          <t>PCS</t>
        </is>
      </c>
      <c r="F123" s="6" t="inlineStr">
        <is>
          <t>Carton</t>
        </is>
      </c>
      <c r="G123" s="7" t="n">
        <v>4000</v>
      </c>
      <c r="H123" s="8" t="n">
        <v>1.2</v>
      </c>
      <c r="I123" s="9">
        <f>IF(G123="","",G123*H123)</f>
        <v/>
      </c>
      <c r="J123" s="8" t="n">
        <v>0</v>
      </c>
      <c r="K123" s="5">
        <f>IF(G123="","",IF(F123="","","1 "&amp;F123&amp;" = "&amp;TEXT(G123,"#,##0")&amp;" "&amp;E123))</f>
        <v/>
      </c>
      <c r="L123" s="5" t="n"/>
    </row>
    <row r="124">
      <c r="A124" s="5" t="n">
        <v>2123</v>
      </c>
      <c r="B124" s="6" t="inlineStr">
        <is>
          <t>Plastic Glass</t>
        </is>
      </c>
      <c r="C124" s="6" t="inlineStr">
        <is>
          <t>04oz Glass</t>
        </is>
      </c>
      <c r="D124" s="6" t="inlineStr">
        <is>
          <t>04oz M.pack Glass</t>
        </is>
      </c>
      <c r="E124" s="6" t="inlineStr">
        <is>
          <t>PCS</t>
        </is>
      </c>
      <c r="F124" s="6" t="inlineStr">
        <is>
          <t>Carton</t>
        </is>
      </c>
      <c r="G124" s="7" t="n">
        <v>4000</v>
      </c>
      <c r="H124" s="8" t="n">
        <v>1.2</v>
      </c>
      <c r="I124" s="9">
        <f>IF(G124="","",G124*H124)</f>
        <v/>
      </c>
      <c r="J124" s="8" t="n">
        <v>0</v>
      </c>
      <c r="K124" s="5">
        <f>IF(G124="","",IF(F124="","","1 "&amp;F124&amp;" = "&amp;TEXT(G124,"#,##0")&amp;" "&amp;E124))</f>
        <v/>
      </c>
      <c r="L124" s="5" t="n"/>
    </row>
    <row r="125">
      <c r="A125" s="5" t="n">
        <v>2124</v>
      </c>
      <c r="B125" s="6" t="inlineStr">
        <is>
          <t>Plastic Glass</t>
        </is>
      </c>
      <c r="C125" s="6" t="inlineStr">
        <is>
          <t>04oz Glass</t>
        </is>
      </c>
      <c r="D125" s="6" t="inlineStr">
        <is>
          <t>04oz M.pack M Glass</t>
        </is>
      </c>
      <c r="E125" s="6" t="inlineStr">
        <is>
          <t>PCS</t>
        </is>
      </c>
      <c r="F125" s="6" t="inlineStr">
        <is>
          <t>Carton</t>
        </is>
      </c>
      <c r="G125" s="7" t="n">
        <v>4000</v>
      </c>
      <c r="H125" s="8" t="n">
        <v>1.2</v>
      </c>
      <c r="I125" s="9">
        <f>IF(G125="","",G125*H125)</f>
        <v/>
      </c>
      <c r="J125" s="8" t="n">
        <v>0</v>
      </c>
      <c r="K125" s="5">
        <f>IF(G125="","",IF(F125="","","1 "&amp;F125&amp;" = "&amp;TEXT(G125,"#,##0")&amp;" "&amp;E125))</f>
        <v/>
      </c>
      <c r="L125" s="5" t="n"/>
    </row>
    <row r="126">
      <c r="A126" s="5" t="n">
        <v>2125</v>
      </c>
      <c r="B126" s="6" t="inlineStr">
        <is>
          <t>Plastic Glass</t>
        </is>
      </c>
      <c r="C126" s="6" t="inlineStr">
        <is>
          <t>04oz Glass</t>
        </is>
      </c>
      <c r="D126" s="6" t="inlineStr">
        <is>
          <t>04oz Silver Glass</t>
        </is>
      </c>
      <c r="E126" s="6" t="inlineStr">
        <is>
          <t>PCS</t>
        </is>
      </c>
      <c r="F126" s="6" t="inlineStr">
        <is>
          <t>Carton</t>
        </is>
      </c>
      <c r="G126" s="7" t="n">
        <v>4000</v>
      </c>
      <c r="H126" s="8" t="n">
        <v>1.2</v>
      </c>
      <c r="I126" s="9">
        <f>IF(G126="","",G126*H126)</f>
        <v/>
      </c>
      <c r="J126" s="8" t="n">
        <v>0</v>
      </c>
      <c r="K126" s="5">
        <f>IF(G126="","",IF(F126="","","1 "&amp;F126&amp;" = "&amp;TEXT(G126,"#,##0")&amp;" "&amp;E126))</f>
        <v/>
      </c>
      <c r="L126" s="5" t="n"/>
    </row>
    <row r="127">
      <c r="A127" s="5" t="n">
        <v>2126</v>
      </c>
      <c r="B127" s="6" t="inlineStr">
        <is>
          <t>Plastic Glass</t>
        </is>
      </c>
      <c r="C127" s="6" t="inlineStr">
        <is>
          <t>04oz Glass</t>
        </is>
      </c>
      <c r="D127" s="6" t="inlineStr">
        <is>
          <t>04oz Club Glass</t>
        </is>
      </c>
      <c r="E127" s="6" t="inlineStr">
        <is>
          <t>PCS</t>
        </is>
      </c>
      <c r="F127" s="6" t="inlineStr">
        <is>
          <t>Carton</t>
        </is>
      </c>
      <c r="G127" s="7" t="n">
        <v>4000</v>
      </c>
      <c r="H127" s="8" t="n">
        <v>1.2</v>
      </c>
      <c r="I127" s="9">
        <f>IF(G127="","",G127*H127)</f>
        <v/>
      </c>
      <c r="J127" s="8" t="n">
        <v>0</v>
      </c>
      <c r="K127" s="5">
        <f>IF(G127="","",IF(F127="","","1 "&amp;F127&amp;" = "&amp;TEXT(G127,"#,##0")&amp;" "&amp;E127))</f>
        <v/>
      </c>
      <c r="L127" s="5" t="n"/>
    </row>
    <row r="128">
      <c r="A128" s="5" t="n">
        <v>2127</v>
      </c>
      <c r="B128" s="6" t="inlineStr">
        <is>
          <t>Plastic Glass</t>
        </is>
      </c>
      <c r="C128" s="6" t="inlineStr">
        <is>
          <t>05oz Glass</t>
        </is>
      </c>
      <c r="D128" s="6" t="inlineStr">
        <is>
          <t>05oz Ravi Milky Glass</t>
        </is>
      </c>
      <c r="E128" s="6" t="inlineStr">
        <is>
          <t>PCS</t>
        </is>
      </c>
      <c r="F128" s="6" t="inlineStr">
        <is>
          <t>Carton</t>
        </is>
      </c>
      <c r="G128" s="7" t="n">
        <v>4000</v>
      </c>
      <c r="H128" s="8" t="n">
        <v>1.5</v>
      </c>
      <c r="I128" s="9">
        <f>IF(G128="","",G128*H128)</f>
        <v/>
      </c>
      <c r="J128" s="8" t="n">
        <v>0</v>
      </c>
      <c r="K128" s="5">
        <f>IF(G128="","",IF(F128="","","1 "&amp;F128&amp;" = "&amp;TEXT(G128,"#,##0")&amp;" "&amp;E128))</f>
        <v/>
      </c>
      <c r="L128" s="5" t="inlineStr">
        <is>
          <t>PDF item column me "04 oz" likha hai</t>
        </is>
      </c>
    </row>
    <row r="129">
      <c r="A129" s="5" t="n">
        <v>2128</v>
      </c>
      <c r="B129" s="6" t="inlineStr">
        <is>
          <t>Plastic Glass</t>
        </is>
      </c>
      <c r="C129" s="6" t="inlineStr">
        <is>
          <t>05oz Glass</t>
        </is>
      </c>
      <c r="D129" s="6" t="inlineStr">
        <is>
          <t>05oz Easy Cary Glass</t>
        </is>
      </c>
      <c r="E129" s="6" t="inlineStr">
        <is>
          <t>PCS</t>
        </is>
      </c>
      <c r="F129" s="6" t="inlineStr">
        <is>
          <t>Carton</t>
        </is>
      </c>
      <c r="G129" s="7" t="n">
        <v>4000</v>
      </c>
      <c r="H129" s="8" t="n">
        <v>1.5</v>
      </c>
      <c r="I129" s="9">
        <f>IF(G129="","",G129*H129)</f>
        <v/>
      </c>
      <c r="J129" s="8" t="n">
        <v>0</v>
      </c>
      <c r="K129" s="5">
        <f>IF(G129="","",IF(F129="","","1 "&amp;F129&amp;" = "&amp;TEXT(G129,"#,##0")&amp;" "&amp;E129))</f>
        <v/>
      </c>
      <c r="L129" s="5" t="inlineStr">
        <is>
          <t>PDF item column me "04 oz" likha hai</t>
        </is>
      </c>
    </row>
    <row r="130">
      <c r="A130" s="5" t="n">
        <v>2129</v>
      </c>
      <c r="B130" s="6" t="inlineStr">
        <is>
          <t>Plastic Glass</t>
        </is>
      </c>
      <c r="C130" s="6" t="inlineStr">
        <is>
          <t>05oz Glass</t>
        </is>
      </c>
      <c r="D130" s="6" t="inlineStr">
        <is>
          <t>05oz Club Glass</t>
        </is>
      </c>
      <c r="E130" s="6" t="inlineStr">
        <is>
          <t>PCS</t>
        </is>
      </c>
      <c r="F130" s="6" t="inlineStr">
        <is>
          <t>Carton</t>
        </is>
      </c>
      <c r="G130" s="7" t="n">
        <v>4000</v>
      </c>
      <c r="H130" s="8" t="n">
        <v>1.5</v>
      </c>
      <c r="I130" s="9">
        <f>IF(G130="","",G130*H130)</f>
        <v/>
      </c>
      <c r="J130" s="8" t="n">
        <v>0</v>
      </c>
      <c r="K130" s="5">
        <f>IF(G130="","",IF(F130="","","1 "&amp;F130&amp;" = "&amp;TEXT(G130,"#,##0")&amp;" "&amp;E130))</f>
        <v/>
      </c>
      <c r="L130" s="5" t="n"/>
    </row>
    <row r="131">
      <c r="A131" s="5" t="n">
        <v>2130</v>
      </c>
      <c r="B131" s="6" t="inlineStr">
        <is>
          <t>Plastic Glass</t>
        </is>
      </c>
      <c r="C131" s="6" t="inlineStr">
        <is>
          <t>06oz Glass</t>
        </is>
      </c>
      <c r="D131" s="6" t="inlineStr">
        <is>
          <t>06oz CP Glass</t>
        </is>
      </c>
      <c r="E131" s="6" t="inlineStr">
        <is>
          <t>PCS</t>
        </is>
      </c>
      <c r="F131" s="6" t="inlineStr">
        <is>
          <t>Carton</t>
        </is>
      </c>
      <c r="G131" s="7" t="n">
        <v>2000</v>
      </c>
      <c r="H131" s="8" t="n">
        <v>1.5</v>
      </c>
      <c r="I131" s="9">
        <f>IF(G131="","",G131*H131)</f>
        <v/>
      </c>
      <c r="J131" s="8" t="n">
        <v>0</v>
      </c>
      <c r="K131" s="5">
        <f>IF(G131="","",IF(F131="","","1 "&amp;F131&amp;" = "&amp;TEXT(G131,"#,##0")&amp;" "&amp;E131))</f>
        <v/>
      </c>
      <c r="L131" s="5" t="n"/>
    </row>
    <row r="132">
      <c r="A132" s="5" t="n">
        <v>2131</v>
      </c>
      <c r="B132" s="6" t="inlineStr">
        <is>
          <t>Plastic Glass</t>
        </is>
      </c>
      <c r="C132" s="6" t="inlineStr">
        <is>
          <t>06oz Glass</t>
        </is>
      </c>
      <c r="D132" s="6" t="inlineStr">
        <is>
          <t>06oz Sarina Glass</t>
        </is>
      </c>
      <c r="E132" s="6" t="inlineStr">
        <is>
          <t>PCS</t>
        </is>
      </c>
      <c r="F132" s="6" t="inlineStr">
        <is>
          <t>Carton</t>
        </is>
      </c>
      <c r="G132" s="7" t="n">
        <v>2000</v>
      </c>
      <c r="H132" s="8" t="n">
        <v>1.5</v>
      </c>
      <c r="I132" s="9">
        <f>IF(G132="","",G132*H132)</f>
        <v/>
      </c>
      <c r="J132" s="8" t="n">
        <v>0</v>
      </c>
      <c r="K132" s="5">
        <f>IF(G132="","",IF(F132="","","1 "&amp;F132&amp;" = "&amp;TEXT(G132,"#,##0")&amp;" "&amp;E132))</f>
        <v/>
      </c>
      <c r="L132" s="5" t="n"/>
    </row>
    <row r="133">
      <c r="A133" s="5" t="n">
        <v>2132</v>
      </c>
      <c r="B133" s="6" t="inlineStr">
        <is>
          <t>Plastic Glass</t>
        </is>
      </c>
      <c r="C133" s="6" t="inlineStr">
        <is>
          <t>06oz Glass</t>
        </is>
      </c>
      <c r="D133" s="6" t="inlineStr">
        <is>
          <t>06oz Sarina M Glass</t>
        </is>
      </c>
      <c r="E133" s="6" t="inlineStr">
        <is>
          <t>PCS</t>
        </is>
      </c>
      <c r="F133" s="6" t="inlineStr">
        <is>
          <t>Carton</t>
        </is>
      </c>
      <c r="G133" s="7" t="n">
        <v>2000</v>
      </c>
      <c r="H133" s="8" t="n">
        <v>1.5</v>
      </c>
      <c r="I133" s="9">
        <f>IF(G133="","",G133*H133)</f>
        <v/>
      </c>
      <c r="J133" s="8" t="n">
        <v>0</v>
      </c>
      <c r="K133" s="5">
        <f>IF(G133="","",IF(F133="","","1 "&amp;F133&amp;" = "&amp;TEXT(G133,"#,##0")&amp;" "&amp;E133))</f>
        <v/>
      </c>
      <c r="L133" s="5" t="n"/>
    </row>
    <row r="134">
      <c r="A134" s="5" t="n">
        <v>2133</v>
      </c>
      <c r="B134" s="6" t="inlineStr">
        <is>
          <t>Plastic Glass</t>
        </is>
      </c>
      <c r="C134" s="6" t="inlineStr">
        <is>
          <t>06oz Glass</t>
        </is>
      </c>
      <c r="D134" s="6" t="inlineStr">
        <is>
          <t>06oz Easy Cary Glass</t>
        </is>
      </c>
      <c r="E134" s="6" t="inlineStr">
        <is>
          <t>PCS</t>
        </is>
      </c>
      <c r="F134" s="6" t="inlineStr">
        <is>
          <t>Carton</t>
        </is>
      </c>
      <c r="G134" s="7" t="n">
        <v>4000</v>
      </c>
      <c r="H134" s="8" t="n">
        <v>1.5</v>
      </c>
      <c r="I134" s="9">
        <f>IF(G134="","",G134*H134)</f>
        <v/>
      </c>
      <c r="J134" s="8" t="n">
        <v>0</v>
      </c>
      <c r="K134" s="5">
        <f>IF(G134="","",IF(F134="","","1 "&amp;F134&amp;" = "&amp;TEXT(G134,"#,##0")&amp;" "&amp;E134))</f>
        <v/>
      </c>
      <c r="L134" s="5" t="n"/>
    </row>
    <row r="135">
      <c r="A135" s="5" t="n">
        <v>2134</v>
      </c>
      <c r="B135" s="6" t="inlineStr">
        <is>
          <t>Plastic Glass</t>
        </is>
      </c>
      <c r="C135" s="6" t="inlineStr">
        <is>
          <t>06oz Glass</t>
        </is>
      </c>
      <c r="D135" s="6" t="inlineStr">
        <is>
          <t>06oz Easy Cary M Glass</t>
        </is>
      </c>
      <c r="E135" s="6" t="inlineStr">
        <is>
          <t>PCS</t>
        </is>
      </c>
      <c r="F135" s="6" t="inlineStr">
        <is>
          <t>Carton</t>
        </is>
      </c>
      <c r="G135" s="7" t="n">
        <v>4000</v>
      </c>
      <c r="H135" s="8" t="n">
        <v>1.5</v>
      </c>
      <c r="I135" s="9">
        <f>IF(G135="","",G135*H135)</f>
        <v/>
      </c>
      <c r="J135" s="8" t="n">
        <v>0</v>
      </c>
      <c r="K135" s="5">
        <f>IF(G135="","",IF(F135="","","1 "&amp;F135&amp;" = "&amp;TEXT(G135,"#,##0")&amp;" "&amp;E135))</f>
        <v/>
      </c>
      <c r="L135" s="5" t="n"/>
    </row>
    <row r="136">
      <c r="A136" s="5" t="n">
        <v>2135</v>
      </c>
      <c r="B136" s="6" t="inlineStr">
        <is>
          <t>Plastic Glass</t>
        </is>
      </c>
      <c r="C136" s="6" t="inlineStr">
        <is>
          <t>06oz Glass</t>
        </is>
      </c>
      <c r="D136" s="6" t="inlineStr">
        <is>
          <t>06oz Shalimar Glass</t>
        </is>
      </c>
      <c r="E136" s="6" t="inlineStr">
        <is>
          <t>PCS</t>
        </is>
      </c>
      <c r="F136" s="6" t="inlineStr">
        <is>
          <t>Carton</t>
        </is>
      </c>
      <c r="G136" s="7" t="n">
        <v>2000</v>
      </c>
      <c r="H136" s="8" t="n">
        <v>1.5</v>
      </c>
      <c r="I136" s="9">
        <f>IF(G136="","",G136*H136)</f>
        <v/>
      </c>
      <c r="J136" s="8" t="n">
        <v>0</v>
      </c>
      <c r="K136" s="5">
        <f>IF(G136="","",IF(F136="","","1 "&amp;F136&amp;" = "&amp;TEXT(G136,"#,##0")&amp;" "&amp;E136))</f>
        <v/>
      </c>
      <c r="L136" s="5" t="n"/>
    </row>
    <row r="137">
      <c r="A137" s="5" t="n">
        <v>2136</v>
      </c>
      <c r="B137" s="6" t="inlineStr">
        <is>
          <t>Plastic Glass</t>
        </is>
      </c>
      <c r="C137" s="6" t="inlineStr">
        <is>
          <t>06oz Glass</t>
        </is>
      </c>
      <c r="D137" s="6" t="inlineStr">
        <is>
          <t>06oz Ravi Glass</t>
        </is>
      </c>
      <c r="E137" s="6" t="inlineStr">
        <is>
          <t>PCS</t>
        </is>
      </c>
      <c r="F137" s="6" t="inlineStr">
        <is>
          <t>Carton</t>
        </is>
      </c>
      <c r="G137" s="7" t="n">
        <v>4000</v>
      </c>
      <c r="H137" s="8" t="n">
        <v>1.5</v>
      </c>
      <c r="I137" s="9">
        <f>IF(G137="","",G137*H137)</f>
        <v/>
      </c>
      <c r="J137" s="8" t="n">
        <v>0</v>
      </c>
      <c r="K137" s="5">
        <f>IF(G137="","",IF(F137="","","1 "&amp;F137&amp;" = "&amp;TEXT(G137,"#,##0")&amp;" "&amp;E137))</f>
        <v/>
      </c>
      <c r="L137" s="5" t="n"/>
    </row>
    <row r="138">
      <c r="A138" s="5" t="n">
        <v>2137</v>
      </c>
      <c r="B138" s="6" t="inlineStr">
        <is>
          <t>Plastic Glass</t>
        </is>
      </c>
      <c r="C138" s="6" t="inlineStr">
        <is>
          <t>06oz Glass</t>
        </is>
      </c>
      <c r="D138" s="6" t="inlineStr">
        <is>
          <t>06oz Ravi M Glass</t>
        </is>
      </c>
      <c r="E138" s="6" t="inlineStr">
        <is>
          <t>PCS</t>
        </is>
      </c>
      <c r="F138" s="6" t="inlineStr">
        <is>
          <t>Carton</t>
        </is>
      </c>
      <c r="G138" s="7" t="n">
        <v>4000</v>
      </c>
      <c r="H138" s="8" t="n">
        <v>1.5</v>
      </c>
      <c r="I138" s="9">
        <f>IF(G138="","",G138*H138)</f>
        <v/>
      </c>
      <c r="J138" s="8" t="n">
        <v>0</v>
      </c>
      <c r="K138" s="5">
        <f>IF(G138="","",IF(F138="","","1 "&amp;F138&amp;" = "&amp;TEXT(G138,"#,##0")&amp;" "&amp;E138))</f>
        <v/>
      </c>
      <c r="L138" s="5" t="n"/>
    </row>
    <row r="139">
      <c r="A139" s="5" t="n">
        <v>2138</v>
      </c>
      <c r="B139" s="6" t="inlineStr">
        <is>
          <t>Plastic Glass</t>
        </is>
      </c>
      <c r="C139" s="6" t="inlineStr">
        <is>
          <t>06oz Glass</t>
        </is>
      </c>
      <c r="D139" s="6" t="inlineStr">
        <is>
          <t>06oz M.pack Glass</t>
        </is>
      </c>
      <c r="E139" s="6" t="inlineStr">
        <is>
          <t>PCS</t>
        </is>
      </c>
      <c r="F139" s="6" t="inlineStr">
        <is>
          <t>Carton</t>
        </is>
      </c>
      <c r="G139" s="7" t="n">
        <v>4000</v>
      </c>
      <c r="H139" s="8" t="n">
        <v>1.5</v>
      </c>
      <c r="I139" s="9">
        <f>IF(G139="","",G139*H139)</f>
        <v/>
      </c>
      <c r="J139" s="8" t="n">
        <v>0</v>
      </c>
      <c r="K139" s="5">
        <f>IF(G139="","",IF(F139="","","1 "&amp;F139&amp;" = "&amp;TEXT(G139,"#,##0")&amp;" "&amp;E139))</f>
        <v/>
      </c>
      <c r="L139" s="5" t="n"/>
    </row>
    <row r="140">
      <c r="A140" s="5" t="n">
        <v>2139</v>
      </c>
      <c r="B140" s="6" t="inlineStr">
        <is>
          <t>Plastic Glass</t>
        </is>
      </c>
      <c r="C140" s="6" t="inlineStr">
        <is>
          <t>06oz Glass</t>
        </is>
      </c>
      <c r="D140" s="6" t="inlineStr">
        <is>
          <t>06oz M.pack M Glass</t>
        </is>
      </c>
      <c r="E140" s="6" t="inlineStr">
        <is>
          <t>PCS</t>
        </is>
      </c>
      <c r="F140" s="6" t="inlineStr">
        <is>
          <t>Carton</t>
        </is>
      </c>
      <c r="G140" s="7" t="n">
        <v>4000</v>
      </c>
      <c r="H140" s="8" t="n">
        <v>1.5</v>
      </c>
      <c r="I140" s="9">
        <f>IF(G140="","",G140*H140)</f>
        <v/>
      </c>
      <c r="J140" s="8" t="n">
        <v>0</v>
      </c>
      <c r="K140" s="5">
        <f>IF(G140="","",IF(F140="","","1 "&amp;F140&amp;" = "&amp;TEXT(G140,"#,##0")&amp;" "&amp;E140))</f>
        <v/>
      </c>
      <c r="L140" s="5" t="n"/>
    </row>
    <row r="141">
      <c r="A141" s="5" t="n">
        <v>2140</v>
      </c>
      <c r="B141" s="6" t="inlineStr">
        <is>
          <t>Plastic Glass</t>
        </is>
      </c>
      <c r="C141" s="6" t="inlineStr">
        <is>
          <t>210ml Glass</t>
        </is>
      </c>
      <c r="D141" s="6" t="inlineStr">
        <is>
          <t>210ml Crystal EC Glass</t>
        </is>
      </c>
      <c r="E141" s="6" t="inlineStr">
        <is>
          <t>PCS</t>
        </is>
      </c>
      <c r="F141" s="6" t="inlineStr">
        <is>
          <t>Carton</t>
        </is>
      </c>
      <c r="G141" s="7" t="n">
        <v>2000</v>
      </c>
      <c r="H141" s="8" t="n">
        <v>2</v>
      </c>
      <c r="I141" s="9">
        <f>IF(G141="","",G141*H141)</f>
        <v/>
      </c>
      <c r="J141" s="8" t="n">
        <v>0</v>
      </c>
      <c r="K141" s="5">
        <f>IF(G141="","",IF(F141="","","1 "&amp;F141&amp;" = "&amp;TEXT(G141,"#,##0")&amp;" "&amp;E141))</f>
        <v/>
      </c>
      <c r="L141" s="5" t="n"/>
    </row>
    <row r="142">
      <c r="A142" s="5" t="n">
        <v>2141</v>
      </c>
      <c r="B142" s="6" t="inlineStr">
        <is>
          <t>Plastic Glass</t>
        </is>
      </c>
      <c r="C142" s="6" t="inlineStr">
        <is>
          <t>210ml Glass</t>
        </is>
      </c>
      <c r="D142" s="6" t="inlineStr">
        <is>
          <t>210ml Pepsi EC Glass</t>
        </is>
      </c>
      <c r="E142" s="6" t="inlineStr">
        <is>
          <t>PCS</t>
        </is>
      </c>
      <c r="F142" s="6" t="inlineStr">
        <is>
          <t>Carton</t>
        </is>
      </c>
      <c r="G142" s="7" t="n">
        <v>2000</v>
      </c>
      <c r="H142" s="8" t="n">
        <v>2</v>
      </c>
      <c r="I142" s="9">
        <f>IF(G142="","",G142*H142)</f>
        <v/>
      </c>
      <c r="J142" s="8" t="n">
        <v>0</v>
      </c>
      <c r="K142" s="5">
        <f>IF(G142="","",IF(F142="","","1 "&amp;F142&amp;" = "&amp;TEXT(G142,"#,##0")&amp;" "&amp;E142))</f>
        <v/>
      </c>
      <c r="L142" s="5" t="n"/>
    </row>
    <row r="143">
      <c r="A143" s="5" t="n">
        <v>2142</v>
      </c>
      <c r="B143" s="6" t="inlineStr">
        <is>
          <t>Plastic Glass</t>
        </is>
      </c>
      <c r="C143" s="6" t="inlineStr">
        <is>
          <t>210ml Glass</t>
        </is>
      </c>
      <c r="D143" s="6" t="inlineStr">
        <is>
          <t>210ml Crystal CP Glass</t>
        </is>
      </c>
      <c r="E143" s="6" t="inlineStr">
        <is>
          <t>PCS</t>
        </is>
      </c>
      <c r="F143" s="6" t="inlineStr">
        <is>
          <t>Carton</t>
        </is>
      </c>
      <c r="G143" s="7" t="n">
        <v>2000</v>
      </c>
      <c r="H143" s="8" t="n">
        <v>2</v>
      </c>
      <c r="I143" s="9">
        <f>IF(G143="","",G143*H143)</f>
        <v/>
      </c>
      <c r="J143" s="8" t="n">
        <v>0</v>
      </c>
      <c r="K143" s="5">
        <f>IF(G143="","",IF(F143="","","1 "&amp;F143&amp;" = "&amp;TEXT(G143,"#,##0")&amp;" "&amp;E143))</f>
        <v/>
      </c>
      <c r="L143" s="5" t="n"/>
    </row>
    <row r="144">
      <c r="A144" s="5" t="n">
        <v>2143</v>
      </c>
      <c r="B144" s="6" t="inlineStr">
        <is>
          <t>Plastic Glass</t>
        </is>
      </c>
      <c r="C144" s="6" t="inlineStr">
        <is>
          <t>210ml Glass</t>
        </is>
      </c>
      <c r="D144" s="6" t="inlineStr">
        <is>
          <t>210ml Pepsi CP Glass</t>
        </is>
      </c>
      <c r="E144" s="6" t="inlineStr">
        <is>
          <t>PCS</t>
        </is>
      </c>
      <c r="F144" s="6" t="inlineStr">
        <is>
          <t>Carton</t>
        </is>
      </c>
      <c r="G144" s="7" t="n">
        <v>2000</v>
      </c>
      <c r="H144" s="8" t="n">
        <v>2</v>
      </c>
      <c r="I144" s="9">
        <f>IF(G144="","",G144*H144)</f>
        <v/>
      </c>
      <c r="J144" s="8" t="n">
        <v>0</v>
      </c>
      <c r="K144" s="5">
        <f>IF(G144="","",IF(F144="","","1 "&amp;F144&amp;" = "&amp;TEXT(G144,"#,##0")&amp;" "&amp;E144))</f>
        <v/>
      </c>
      <c r="L144" s="5" t="n"/>
    </row>
    <row r="145">
      <c r="A145" s="5" t="n">
        <v>2144</v>
      </c>
      <c r="B145" s="6" t="inlineStr">
        <is>
          <t>Plastic Glass</t>
        </is>
      </c>
      <c r="C145" s="6" t="inlineStr">
        <is>
          <t>210ml Glass</t>
        </is>
      </c>
      <c r="D145" s="6" t="inlineStr">
        <is>
          <t>210ml Pepsi Ravi Glass</t>
        </is>
      </c>
      <c r="E145" s="6" t="inlineStr">
        <is>
          <t>PCS</t>
        </is>
      </c>
      <c r="F145" s="6" t="inlineStr">
        <is>
          <t>Carton</t>
        </is>
      </c>
      <c r="G145" s="7" t="n">
        <v>2000</v>
      </c>
      <c r="H145" s="8" t="n">
        <v>2</v>
      </c>
      <c r="I145" s="9">
        <f>IF(G145="","",G145*H145)</f>
        <v/>
      </c>
      <c r="J145" s="8" t="n">
        <v>0</v>
      </c>
      <c r="K145" s="5">
        <f>IF(G145="","",IF(F145="","","1 "&amp;F145&amp;" = "&amp;TEXT(G145,"#,##0")&amp;" "&amp;E145))</f>
        <v/>
      </c>
      <c r="L145" s="5" t="inlineStr">
        <is>
          <t>PDF me 2 baar likha tha, ek rakha</t>
        </is>
      </c>
    </row>
    <row r="146">
      <c r="A146" s="5" t="n">
        <v>2145</v>
      </c>
      <c r="B146" s="6" t="inlineStr">
        <is>
          <t>Plastic Glass</t>
        </is>
      </c>
      <c r="C146" s="6" t="inlineStr">
        <is>
          <t>210ml Glass</t>
        </is>
      </c>
      <c r="D146" s="6" t="inlineStr">
        <is>
          <t>210ml Pepsi Shalimar Glass</t>
        </is>
      </c>
      <c r="E146" s="6" t="inlineStr">
        <is>
          <t>PCS</t>
        </is>
      </c>
      <c r="F146" s="6" t="inlineStr">
        <is>
          <t>Carton</t>
        </is>
      </c>
      <c r="G146" s="7" t="n">
        <v>2000</v>
      </c>
      <c r="H146" s="8" t="n">
        <v>2</v>
      </c>
      <c r="I146" s="9">
        <f>IF(G146="","",G146*H146)</f>
        <v/>
      </c>
      <c r="J146" s="8" t="n">
        <v>0</v>
      </c>
      <c r="K146" s="5">
        <f>IF(G146="","",IF(F146="","","1 "&amp;F146&amp;" = "&amp;TEXT(G146,"#,##0")&amp;" "&amp;E146))</f>
        <v/>
      </c>
      <c r="L146" s="5" t="n"/>
    </row>
    <row r="147">
      <c r="A147" s="5" t="n">
        <v>2146</v>
      </c>
      <c r="B147" s="6" t="inlineStr">
        <is>
          <t>Plastic Glass</t>
        </is>
      </c>
      <c r="C147" s="6" t="inlineStr">
        <is>
          <t>210ml Glass</t>
        </is>
      </c>
      <c r="D147" s="6" t="inlineStr">
        <is>
          <t>210ml Pepsi Sarina Glass</t>
        </is>
      </c>
      <c r="E147" s="6" t="inlineStr">
        <is>
          <t>PCS</t>
        </is>
      </c>
      <c r="F147" s="6" t="inlineStr">
        <is>
          <t>Carton</t>
        </is>
      </c>
      <c r="G147" s="7" t="n">
        <v>2000</v>
      </c>
      <c r="H147" s="8" t="n">
        <v>2</v>
      </c>
      <c r="I147" s="9">
        <f>IF(G147="","",G147*H147)</f>
        <v/>
      </c>
      <c r="J147" s="8" t="n">
        <v>0</v>
      </c>
      <c r="K147" s="5">
        <f>IF(G147="","",IF(F147="","","1 "&amp;F147&amp;" = "&amp;TEXT(G147,"#,##0")&amp;" "&amp;E147))</f>
        <v/>
      </c>
      <c r="L147" s="5" t="n"/>
    </row>
    <row r="148">
      <c r="A148" s="5" t="n">
        <v>2147</v>
      </c>
      <c r="B148" s="6" t="inlineStr">
        <is>
          <t>Plastic Glass</t>
        </is>
      </c>
      <c r="C148" s="6" t="inlineStr">
        <is>
          <t>210ml Glass</t>
        </is>
      </c>
      <c r="D148" s="6" t="inlineStr">
        <is>
          <t>210ml Pepsi World Pack Glass</t>
        </is>
      </c>
      <c r="E148" s="6" t="inlineStr">
        <is>
          <t>PCS</t>
        </is>
      </c>
      <c r="F148" s="6" t="inlineStr">
        <is>
          <t>Carton</t>
        </is>
      </c>
      <c r="G148" s="7" t="n">
        <v>2000</v>
      </c>
      <c r="H148" s="8" t="n">
        <v>2</v>
      </c>
      <c r="I148" s="9">
        <f>IF(G148="","",G148*H148)</f>
        <v/>
      </c>
      <c r="J148" s="8" t="n">
        <v>0</v>
      </c>
      <c r="K148" s="5">
        <f>IF(G148="","",IF(F148="","","1 "&amp;F148&amp;" = "&amp;TEXT(G148,"#,##0")&amp;" "&amp;E148))</f>
        <v/>
      </c>
      <c r="L148" s="5" t="n"/>
    </row>
    <row r="149">
      <c r="A149" s="5" t="n">
        <v>2148</v>
      </c>
      <c r="B149" s="6" t="inlineStr">
        <is>
          <t>Plastic Glass</t>
        </is>
      </c>
      <c r="C149" s="6" t="inlineStr">
        <is>
          <t>210ml Glass</t>
        </is>
      </c>
      <c r="D149" s="6" t="inlineStr">
        <is>
          <t>210ml Pepsi Amafa Glass</t>
        </is>
      </c>
      <c r="E149" s="6" t="inlineStr">
        <is>
          <t>PCS</t>
        </is>
      </c>
      <c r="F149" s="6" t="inlineStr">
        <is>
          <t>Carton</t>
        </is>
      </c>
      <c r="G149" s="7" t="n">
        <v>2000</v>
      </c>
      <c r="H149" s="8" t="n">
        <v>2</v>
      </c>
      <c r="I149" s="9">
        <f>IF(G149="","",G149*H149)</f>
        <v/>
      </c>
      <c r="J149" s="8" t="n">
        <v>0</v>
      </c>
      <c r="K149" s="5">
        <f>IF(G149="","",IF(F149="","","1 "&amp;F149&amp;" = "&amp;TEXT(G149,"#,##0")&amp;" "&amp;E149))</f>
        <v/>
      </c>
      <c r="L149" s="5" t="n"/>
    </row>
    <row r="150">
      <c r="A150" s="5" t="n">
        <v>2149</v>
      </c>
      <c r="B150" s="6" t="inlineStr">
        <is>
          <t>Plastic Glass</t>
        </is>
      </c>
      <c r="C150" s="6" t="inlineStr">
        <is>
          <t>250ml Glass</t>
        </is>
      </c>
      <c r="D150" s="6" t="inlineStr">
        <is>
          <t>250ml Crystal EC Glass</t>
        </is>
      </c>
      <c r="E150" s="6" t="inlineStr">
        <is>
          <t>PCS</t>
        </is>
      </c>
      <c r="F150" s="6" t="inlineStr">
        <is>
          <t>Carton</t>
        </is>
      </c>
      <c r="G150" s="7" t="n">
        <v>2000</v>
      </c>
      <c r="H150" s="8" t="n">
        <v>2.5</v>
      </c>
      <c r="I150" s="9">
        <f>IF(G150="","",G150*H150)</f>
        <v/>
      </c>
      <c r="J150" s="8" t="n">
        <v>0</v>
      </c>
      <c r="K150" s="5">
        <f>IF(G150="","",IF(F150="","","1 "&amp;F150&amp;" = "&amp;TEXT(G150,"#,##0")&amp;" "&amp;E150))</f>
        <v/>
      </c>
      <c r="L150" s="5" t="n"/>
    </row>
    <row r="151">
      <c r="A151" s="5" t="n">
        <v>2150</v>
      </c>
      <c r="B151" s="6" t="inlineStr">
        <is>
          <t>Plastic Glass</t>
        </is>
      </c>
      <c r="C151" s="6" t="inlineStr">
        <is>
          <t>250ml Glass</t>
        </is>
      </c>
      <c r="D151" s="6" t="inlineStr">
        <is>
          <t>250ml Pepsi EC Glass</t>
        </is>
      </c>
      <c r="E151" s="6" t="inlineStr">
        <is>
          <t>PCS</t>
        </is>
      </c>
      <c r="F151" s="6" t="inlineStr">
        <is>
          <t>Carton</t>
        </is>
      </c>
      <c r="G151" s="7" t="n">
        <v>2000</v>
      </c>
      <c r="H151" s="8" t="n">
        <v>2.5</v>
      </c>
      <c r="I151" s="9">
        <f>IF(G151="","",G151*H151)</f>
        <v/>
      </c>
      <c r="J151" s="8" t="n">
        <v>0</v>
      </c>
      <c r="K151" s="5">
        <f>IF(G151="","",IF(F151="","","1 "&amp;F151&amp;" = "&amp;TEXT(G151,"#,##0")&amp;" "&amp;E151))</f>
        <v/>
      </c>
      <c r="L151" s="5" t="n"/>
    </row>
    <row r="152">
      <c r="A152" s="5" t="n">
        <v>2151</v>
      </c>
      <c r="B152" s="6" t="inlineStr">
        <is>
          <t>Plastic Glass</t>
        </is>
      </c>
      <c r="C152" s="6" t="inlineStr">
        <is>
          <t>250ml Glass</t>
        </is>
      </c>
      <c r="D152" s="6" t="inlineStr">
        <is>
          <t>250ml Crystal CP Glass</t>
        </is>
      </c>
      <c r="E152" s="6" t="inlineStr">
        <is>
          <t>PCS</t>
        </is>
      </c>
      <c r="F152" s="6" t="inlineStr">
        <is>
          <t>Carton</t>
        </is>
      </c>
      <c r="G152" s="7" t="n">
        <v>2000</v>
      </c>
      <c r="H152" s="8" t="n">
        <v>2.5</v>
      </c>
      <c r="I152" s="9">
        <f>IF(G152="","",G152*H152)</f>
        <v/>
      </c>
      <c r="J152" s="8" t="n">
        <v>0</v>
      </c>
      <c r="K152" s="5">
        <f>IF(G152="","",IF(F152="","","1 "&amp;F152&amp;" = "&amp;TEXT(G152,"#,##0")&amp;" "&amp;E152))</f>
        <v/>
      </c>
      <c r="L152" s="5" t="n"/>
    </row>
    <row r="153">
      <c r="A153" s="5" t="n">
        <v>2152</v>
      </c>
      <c r="B153" s="6" t="inlineStr">
        <is>
          <t>Plastic Glass</t>
        </is>
      </c>
      <c r="C153" s="6" t="inlineStr">
        <is>
          <t>250ml Glass</t>
        </is>
      </c>
      <c r="D153" s="6" t="inlineStr">
        <is>
          <t>250ml Pepsi CP Glass</t>
        </is>
      </c>
      <c r="E153" s="6" t="inlineStr">
        <is>
          <t>PCS</t>
        </is>
      </c>
      <c r="F153" s="6" t="inlineStr">
        <is>
          <t>Carton</t>
        </is>
      </c>
      <c r="G153" s="7" t="n">
        <v>2000</v>
      </c>
      <c r="H153" s="8" t="n">
        <v>2.5</v>
      </c>
      <c r="I153" s="9">
        <f>IF(G153="","",G153*H153)</f>
        <v/>
      </c>
      <c r="J153" s="8" t="n">
        <v>0</v>
      </c>
      <c r="K153" s="5">
        <f>IF(G153="","",IF(F153="","","1 "&amp;F153&amp;" = "&amp;TEXT(G153,"#,##0")&amp;" "&amp;E153))</f>
        <v/>
      </c>
      <c r="L153" s="5" t="n"/>
    </row>
    <row r="154">
      <c r="A154" s="5" t="n">
        <v>2153</v>
      </c>
      <c r="B154" s="6" t="inlineStr">
        <is>
          <t>Plastic Glass</t>
        </is>
      </c>
      <c r="C154" s="6" t="inlineStr">
        <is>
          <t>250ml Glass</t>
        </is>
      </c>
      <c r="D154" s="6" t="inlineStr">
        <is>
          <t>250ml Pepsi Ravi Glass</t>
        </is>
      </c>
      <c r="E154" s="6" t="inlineStr">
        <is>
          <t>PCS</t>
        </is>
      </c>
      <c r="F154" s="6" t="inlineStr">
        <is>
          <t>Carton</t>
        </is>
      </c>
      <c r="G154" s="7" t="n">
        <v>2000</v>
      </c>
      <c r="H154" s="8" t="n">
        <v>2.5</v>
      </c>
      <c r="I154" s="9">
        <f>IF(G154="","",G154*H154)</f>
        <v/>
      </c>
      <c r="J154" s="8" t="n">
        <v>0</v>
      </c>
      <c r="K154" s="5">
        <f>IF(G154="","",IF(F154="","","1 "&amp;F154&amp;" = "&amp;TEXT(G154,"#,##0")&amp;" "&amp;E154))</f>
        <v/>
      </c>
      <c r="L154" s="5" t="inlineStr">
        <is>
          <t>PDF me 2 baar likha tha, ek rakha</t>
        </is>
      </c>
    </row>
    <row r="155">
      <c r="A155" s="5" t="n">
        <v>2154</v>
      </c>
      <c r="B155" s="6" t="inlineStr">
        <is>
          <t>Plastic Glass</t>
        </is>
      </c>
      <c r="C155" s="6" t="inlineStr">
        <is>
          <t>250ml Glass</t>
        </is>
      </c>
      <c r="D155" s="6" t="inlineStr">
        <is>
          <t>250ml Pepsi Shalimar Glass</t>
        </is>
      </c>
      <c r="E155" s="6" t="inlineStr">
        <is>
          <t>PCS</t>
        </is>
      </c>
      <c r="F155" s="6" t="inlineStr">
        <is>
          <t>Carton</t>
        </is>
      </c>
      <c r="G155" s="7" t="n">
        <v>2000</v>
      </c>
      <c r="H155" s="8" t="n">
        <v>2.5</v>
      </c>
      <c r="I155" s="9">
        <f>IF(G155="","",G155*H155)</f>
        <v/>
      </c>
      <c r="J155" s="8" t="n">
        <v>0</v>
      </c>
      <c r="K155" s="5">
        <f>IF(G155="","",IF(F155="","","1 "&amp;F155&amp;" = "&amp;TEXT(G155,"#,##0")&amp;" "&amp;E155))</f>
        <v/>
      </c>
      <c r="L155" s="5" t="n"/>
    </row>
    <row r="156">
      <c r="A156" s="5" t="n">
        <v>2155</v>
      </c>
      <c r="B156" s="6" t="inlineStr">
        <is>
          <t>Plastic Glass</t>
        </is>
      </c>
      <c r="C156" s="6" t="inlineStr">
        <is>
          <t>250ml Glass</t>
        </is>
      </c>
      <c r="D156" s="6" t="inlineStr">
        <is>
          <t>250ml Pepsi Sarina Glass</t>
        </is>
      </c>
      <c r="E156" s="6" t="inlineStr">
        <is>
          <t>PCS</t>
        </is>
      </c>
      <c r="F156" s="6" t="inlineStr">
        <is>
          <t>Carton</t>
        </is>
      </c>
      <c r="G156" s="7" t="n">
        <v>2000</v>
      </c>
      <c r="H156" s="8" t="n">
        <v>2.5</v>
      </c>
      <c r="I156" s="9">
        <f>IF(G156="","",G156*H156)</f>
        <v/>
      </c>
      <c r="J156" s="8" t="n">
        <v>0</v>
      </c>
      <c r="K156" s="5">
        <f>IF(G156="","",IF(F156="","","1 "&amp;F156&amp;" = "&amp;TEXT(G156,"#,##0")&amp;" "&amp;E156))</f>
        <v/>
      </c>
      <c r="L156" s="5" t="n"/>
    </row>
    <row r="157">
      <c r="A157" s="5" t="n">
        <v>2156</v>
      </c>
      <c r="B157" s="6" t="inlineStr">
        <is>
          <t>Plastic Glass</t>
        </is>
      </c>
      <c r="C157" s="6" t="inlineStr">
        <is>
          <t>250ml Glass</t>
        </is>
      </c>
      <c r="D157" s="6" t="inlineStr">
        <is>
          <t>250ml Pepsi World Pack Glass</t>
        </is>
      </c>
      <c r="E157" s="6" t="inlineStr">
        <is>
          <t>PCS</t>
        </is>
      </c>
      <c r="F157" s="6" t="inlineStr">
        <is>
          <t>Carton</t>
        </is>
      </c>
      <c r="G157" s="7" t="n">
        <v>2000</v>
      </c>
      <c r="H157" s="8" t="n">
        <v>2.5</v>
      </c>
      <c r="I157" s="9">
        <f>IF(G157="","",G157*H157)</f>
        <v/>
      </c>
      <c r="J157" s="8" t="n">
        <v>0</v>
      </c>
      <c r="K157" s="5">
        <f>IF(G157="","",IF(F157="","","1 "&amp;F157&amp;" = "&amp;TEXT(G157,"#,##0")&amp;" "&amp;E157))</f>
        <v/>
      </c>
      <c r="L157" s="5" t="n"/>
    </row>
    <row r="158">
      <c r="A158" s="5" t="n">
        <v>2157</v>
      </c>
      <c r="B158" s="6" t="inlineStr">
        <is>
          <t>Plastic Glass</t>
        </is>
      </c>
      <c r="C158" s="6" t="inlineStr">
        <is>
          <t>250ml Glass</t>
        </is>
      </c>
      <c r="D158" s="6" t="inlineStr">
        <is>
          <t>250ml Pepsi Amafa Glass</t>
        </is>
      </c>
      <c r="E158" s="6" t="inlineStr">
        <is>
          <t>PCS</t>
        </is>
      </c>
      <c r="F158" s="6" t="inlineStr">
        <is>
          <t>Carton</t>
        </is>
      </c>
      <c r="G158" s="7" t="n">
        <v>2000</v>
      </c>
      <c r="H158" s="8" t="n">
        <v>2.5</v>
      </c>
      <c r="I158" s="9">
        <f>IF(G158="","",G158*H158)</f>
        <v/>
      </c>
      <c r="J158" s="8" t="n">
        <v>0</v>
      </c>
      <c r="K158" s="5">
        <f>IF(G158="","",IF(F158="","","1 "&amp;F158&amp;" = "&amp;TEXT(G158,"#,##0")&amp;" "&amp;E158))</f>
        <v/>
      </c>
      <c r="L158" s="5" t="n"/>
    </row>
    <row r="159">
      <c r="A159" s="5" t="n">
        <v>2158</v>
      </c>
      <c r="B159" s="6" t="inlineStr">
        <is>
          <t>Plastic Glass</t>
        </is>
      </c>
      <c r="C159" s="6" t="inlineStr">
        <is>
          <t>250ml Glass</t>
        </is>
      </c>
      <c r="D159" s="6" t="inlineStr">
        <is>
          <t>250ml Crystal Ravi Glass</t>
        </is>
      </c>
      <c r="E159" s="6" t="inlineStr">
        <is>
          <t>PCS</t>
        </is>
      </c>
      <c r="F159" s="6" t="inlineStr">
        <is>
          <t>Carton</t>
        </is>
      </c>
      <c r="G159" s="7" t="n">
        <v>2000</v>
      </c>
      <c r="H159" s="8" t="n">
        <v>2.5</v>
      </c>
      <c r="I159" s="9">
        <f>IF(G159="","",G159*H159)</f>
        <v/>
      </c>
      <c r="J159" s="8" t="n">
        <v>0</v>
      </c>
      <c r="K159" s="5">
        <f>IF(G159="","",IF(F159="","","1 "&amp;F159&amp;" = "&amp;TEXT(G159,"#,##0")&amp;" "&amp;E159))</f>
        <v/>
      </c>
      <c r="L159" s="5" t="n"/>
    </row>
    <row r="160">
      <c r="A160" s="5" t="n">
        <v>2159</v>
      </c>
      <c r="B160" s="6" t="inlineStr">
        <is>
          <t>Aluminum Foil</t>
        </is>
      </c>
      <c r="C160" s="6" t="inlineStr">
        <is>
          <t>F Series</t>
        </is>
      </c>
      <c r="D160" s="6" t="inlineStr">
        <is>
          <t>F-1 Container</t>
        </is>
      </c>
      <c r="E160" s="6" t="inlineStr">
        <is>
          <t>PCS</t>
        </is>
      </c>
      <c r="F160" s="6" t="inlineStr">
        <is>
          <t>Carton</t>
        </is>
      </c>
      <c r="G160" s="7" t="n">
        <v>1000</v>
      </c>
      <c r="H160" s="8" t="n">
        <v>10</v>
      </c>
      <c r="I160" s="9">
        <f>IF(G160="","",G160*H160)</f>
        <v/>
      </c>
      <c r="J160" s="8" t="n">
        <v>0</v>
      </c>
      <c r="K160" s="5">
        <f>IF(G160="","",IF(F160="","","1 "&amp;F160&amp;" = "&amp;TEXT(G160,"#,##0")&amp;" "&amp;E160))</f>
        <v/>
      </c>
      <c r="L160" s="5" t="n"/>
    </row>
    <row r="161">
      <c r="A161" s="5" t="n">
        <v>2160</v>
      </c>
      <c r="B161" s="6" t="inlineStr">
        <is>
          <t>Aluminum Foil</t>
        </is>
      </c>
      <c r="C161" s="6" t="inlineStr">
        <is>
          <t>F Series</t>
        </is>
      </c>
      <c r="D161" s="6" t="inlineStr">
        <is>
          <t>F-2 Container</t>
        </is>
      </c>
      <c r="E161" s="6" t="inlineStr">
        <is>
          <t>PCS</t>
        </is>
      </c>
      <c r="F161" s="6" t="inlineStr">
        <is>
          <t>Carton</t>
        </is>
      </c>
      <c r="G161" s="7" t="n">
        <v>1000</v>
      </c>
      <c r="H161" s="8" t="n">
        <v>20</v>
      </c>
      <c r="I161" s="9">
        <f>IF(G161="","",G161*H161)</f>
        <v/>
      </c>
      <c r="J161" s="8" t="n">
        <v>0</v>
      </c>
      <c r="K161" s="5">
        <f>IF(G161="","",IF(F161="","","1 "&amp;F161&amp;" = "&amp;TEXT(G161,"#,##0")&amp;" "&amp;E161))</f>
        <v/>
      </c>
      <c r="L161" s="5" t="n"/>
    </row>
    <row r="162">
      <c r="A162" s="5" t="n">
        <v>2161</v>
      </c>
      <c r="B162" s="6" t="inlineStr">
        <is>
          <t>Aluminum Foil</t>
        </is>
      </c>
      <c r="C162" s="6" t="inlineStr">
        <is>
          <t>F Series</t>
        </is>
      </c>
      <c r="D162" s="6" t="inlineStr">
        <is>
          <t>F-3 Container</t>
        </is>
      </c>
      <c r="E162" s="6" t="inlineStr">
        <is>
          <t>PCS</t>
        </is>
      </c>
      <c r="F162" s="6" t="inlineStr">
        <is>
          <t>Carton</t>
        </is>
      </c>
      <c r="G162" s="7" t="n">
        <v>1000</v>
      </c>
      <c r="H162" s="8" t="n">
        <v>30</v>
      </c>
      <c r="I162" s="9">
        <f>IF(G162="","",G162*H162)</f>
        <v/>
      </c>
      <c r="J162" s="8" t="n">
        <v>0</v>
      </c>
      <c r="K162" s="5">
        <f>IF(G162="","",IF(F162="","","1 "&amp;F162&amp;" = "&amp;TEXT(G162,"#,##0")&amp;" "&amp;E162))</f>
        <v/>
      </c>
      <c r="L162" s="5" t="n"/>
    </row>
    <row r="163">
      <c r="A163" s="5" t="n">
        <v>2162</v>
      </c>
      <c r="B163" s="6" t="inlineStr">
        <is>
          <t>Aluminum Foil</t>
        </is>
      </c>
      <c r="C163" s="6" t="inlineStr">
        <is>
          <t>F Series</t>
        </is>
      </c>
      <c r="D163" s="6" t="inlineStr">
        <is>
          <t>F-4 Container</t>
        </is>
      </c>
      <c r="E163" s="6" t="inlineStr">
        <is>
          <t>PCS</t>
        </is>
      </c>
      <c r="F163" s="6" t="inlineStr">
        <is>
          <t>Carton</t>
        </is>
      </c>
      <c r="G163" s="7" t="n">
        <v>400</v>
      </c>
      <c r="H163" s="8" t="n">
        <v>60</v>
      </c>
      <c r="I163" s="9">
        <f>IF(G163="","",G163*H163)</f>
        <v/>
      </c>
      <c r="J163" s="8" t="n">
        <v>0</v>
      </c>
      <c r="K163" s="5">
        <f>IF(G163="","",IF(F163="","","1 "&amp;F163&amp;" = "&amp;TEXT(G163,"#,##0")&amp;" "&amp;E163))</f>
        <v/>
      </c>
      <c r="L163" s="5" t="n"/>
    </row>
    <row r="164">
      <c r="A164" s="5" t="n">
        <v>2163</v>
      </c>
      <c r="B164" s="6" t="inlineStr">
        <is>
          <t>Aluminum Foil</t>
        </is>
      </c>
      <c r="C164" s="6" t="inlineStr">
        <is>
          <t>F Series</t>
        </is>
      </c>
      <c r="D164" s="6" t="inlineStr">
        <is>
          <t>F-1 Lid</t>
        </is>
      </c>
      <c r="E164" s="6" t="inlineStr">
        <is>
          <t>PCS</t>
        </is>
      </c>
      <c r="F164" s="6" t="inlineStr">
        <is>
          <t>Carton</t>
        </is>
      </c>
      <c r="G164" s="7" t="n">
        <v>1000</v>
      </c>
      <c r="H164" s="8" t="n">
        <v>1</v>
      </c>
      <c r="I164" s="9">
        <f>IF(G164="","",G164*H164)</f>
        <v/>
      </c>
      <c r="J164" s="8" t="n">
        <v>0</v>
      </c>
      <c r="K164" s="5">
        <f>IF(G164="","",IF(F164="","","1 "&amp;F164&amp;" = "&amp;TEXT(G164,"#,##0")&amp;" "&amp;E164))</f>
        <v/>
      </c>
      <c r="L164" s="5" t="n"/>
    </row>
    <row r="165">
      <c r="A165" s="5" t="n">
        <v>2164</v>
      </c>
      <c r="B165" s="6" t="inlineStr">
        <is>
          <t>Aluminum Foil</t>
        </is>
      </c>
      <c r="C165" s="6" t="inlineStr">
        <is>
          <t>F Series</t>
        </is>
      </c>
      <c r="D165" s="6" t="inlineStr">
        <is>
          <t>F-2 Lid</t>
        </is>
      </c>
      <c r="E165" s="6" t="inlineStr">
        <is>
          <t>PCS</t>
        </is>
      </c>
      <c r="F165" s="6" t="inlineStr">
        <is>
          <t>Carton</t>
        </is>
      </c>
      <c r="G165" s="7" t="n">
        <v>1000</v>
      </c>
      <c r="H165" s="8" t="n">
        <v>2</v>
      </c>
      <c r="I165" s="9">
        <f>IF(G165="","",G165*H165)</f>
        <v/>
      </c>
      <c r="J165" s="8" t="n">
        <v>0</v>
      </c>
      <c r="K165" s="5">
        <f>IF(G165="","",IF(F165="","","1 "&amp;F165&amp;" = "&amp;TEXT(G165,"#,##0")&amp;" "&amp;E165))</f>
        <v/>
      </c>
      <c r="L165" s="5" t="n"/>
    </row>
    <row r="166">
      <c r="A166" s="5" t="n">
        <v>2165</v>
      </c>
      <c r="B166" s="6" t="inlineStr">
        <is>
          <t>Aluminum Foil</t>
        </is>
      </c>
      <c r="C166" s="6" t="inlineStr">
        <is>
          <t>F Series</t>
        </is>
      </c>
      <c r="D166" s="6" t="inlineStr">
        <is>
          <t>F-3 Lid</t>
        </is>
      </c>
      <c r="E166" s="6" t="inlineStr">
        <is>
          <t>PCS</t>
        </is>
      </c>
      <c r="F166" s="6" t="inlineStr">
        <is>
          <t>Carton</t>
        </is>
      </c>
      <c r="G166" s="7" t="n">
        <v>1000</v>
      </c>
      <c r="H166" s="8" t="n">
        <v>3</v>
      </c>
      <c r="I166" s="9">
        <f>IF(G166="","",G166*H166)</f>
        <v/>
      </c>
      <c r="J166" s="8" t="n">
        <v>0</v>
      </c>
      <c r="K166" s="5">
        <f>IF(G166="","",IF(F166="","","1 "&amp;F166&amp;" = "&amp;TEXT(G166,"#,##0")&amp;" "&amp;E166))</f>
        <v/>
      </c>
      <c r="L166" s="5" t="n"/>
    </row>
    <row r="167">
      <c r="A167" s="5" t="n">
        <v>2166</v>
      </c>
      <c r="B167" s="6" t="inlineStr">
        <is>
          <t>Aluminum Foil</t>
        </is>
      </c>
      <c r="C167" s="6" t="inlineStr">
        <is>
          <t>F Series</t>
        </is>
      </c>
      <c r="D167" s="6" t="inlineStr">
        <is>
          <t>F-4 Lid</t>
        </is>
      </c>
      <c r="E167" s="6" t="inlineStr">
        <is>
          <t>PCS</t>
        </is>
      </c>
      <c r="F167" s="6" t="inlineStr">
        <is>
          <t>Carton</t>
        </is>
      </c>
      <c r="G167" s="7" t="n">
        <v>1000</v>
      </c>
      <c r="H167" s="8" t="n">
        <v>6</v>
      </c>
      <c r="I167" s="9">
        <f>IF(G167="","",G167*H167)</f>
        <v/>
      </c>
      <c r="J167" s="8" t="n">
        <v>0</v>
      </c>
      <c r="K167" s="5">
        <f>IF(G167="","",IF(F167="","","1 "&amp;F167&amp;" = "&amp;TEXT(G167,"#,##0")&amp;" "&amp;E167))</f>
        <v/>
      </c>
      <c r="L167" s="5" t="n"/>
    </row>
    <row r="168">
      <c r="A168" s="5" t="n">
        <v>2167</v>
      </c>
      <c r="B168" s="6" t="inlineStr">
        <is>
          <t>Aluminum Foil</t>
        </is>
      </c>
      <c r="C168" s="6" t="inlineStr">
        <is>
          <t>Foil Roll</t>
        </is>
      </c>
      <c r="D168" s="6" t="inlineStr">
        <is>
          <t>Foil Roll 12 inch 3.5mtr</t>
        </is>
      </c>
      <c r="E168" s="6" t="inlineStr">
        <is>
          <t>PCS</t>
        </is>
      </c>
      <c r="F168" s="6" t="inlineStr">
        <is>
          <t>Carton</t>
        </is>
      </c>
      <c r="G168" s="7" t="n">
        <v>48</v>
      </c>
      <c r="H168" s="8" t="n">
        <v>130</v>
      </c>
      <c r="I168" s="9">
        <f>IF(G168="","",G168*H168)</f>
        <v/>
      </c>
      <c r="J168" s="8" t="n">
        <v>0</v>
      </c>
      <c r="K168" s="5">
        <f>IF(G168="","",IF(F168="","","1 "&amp;F168&amp;" = "&amp;TEXT(G168,"#,##0")&amp;" "&amp;E168))</f>
        <v/>
      </c>
      <c r="L168" s="5" t="n"/>
    </row>
    <row r="169">
      <c r="A169" s="5" t="n">
        <v>2168</v>
      </c>
      <c r="B169" s="6" t="inlineStr">
        <is>
          <t>Aluminum Foil</t>
        </is>
      </c>
      <c r="C169" s="6" t="inlineStr">
        <is>
          <t>Foil Roll</t>
        </is>
      </c>
      <c r="D169" s="6" t="inlineStr">
        <is>
          <t>Foil Roll 18 inch 8mtr</t>
        </is>
      </c>
      <c r="E169" s="6" t="inlineStr">
        <is>
          <t>PCS</t>
        </is>
      </c>
      <c r="F169" s="6" t="inlineStr">
        <is>
          <t>Carton</t>
        </is>
      </c>
      <c r="G169" s="7" t="n">
        <v>48</v>
      </c>
      <c r="H169" s="8" t="n">
        <v>330</v>
      </c>
      <c r="I169" s="9">
        <f>IF(G169="","",G169*H169)</f>
        <v/>
      </c>
      <c r="J169" s="8" t="n">
        <v>0</v>
      </c>
      <c r="K169" s="5">
        <f>IF(G169="","",IF(F169="","","1 "&amp;F169&amp;" = "&amp;TEXT(G169,"#,##0")&amp;" "&amp;E169))</f>
        <v/>
      </c>
      <c r="L169" s="5" t="n"/>
    </row>
    <row r="170">
      <c r="A170" s="5" t="n">
        <v>2169</v>
      </c>
      <c r="B170" s="6" t="inlineStr">
        <is>
          <t>Aluminum Foil</t>
        </is>
      </c>
      <c r="C170" s="6" t="inlineStr">
        <is>
          <t>Foil Roll</t>
        </is>
      </c>
      <c r="D170" s="6" t="inlineStr">
        <is>
          <t>Foil Roll 12 inch 75mtr</t>
        </is>
      </c>
      <c r="E170" s="6" t="inlineStr">
        <is>
          <t>PCS</t>
        </is>
      </c>
      <c r="F170" s="6" t="inlineStr">
        <is>
          <t>Carton</t>
        </is>
      </c>
      <c r="G170" s="7" t="n">
        <v>6</v>
      </c>
      <c r="H170" s="8" t="n">
        <v>2000</v>
      </c>
      <c r="I170" s="9">
        <f>IF(G170="","",G170*H170)</f>
        <v/>
      </c>
      <c r="J170" s="8" t="n">
        <v>0</v>
      </c>
      <c r="K170" s="5">
        <f>IF(G170="","",IF(F170="","","1 "&amp;F170&amp;" = "&amp;TEXT(G170,"#,##0")&amp;" "&amp;E170))</f>
        <v/>
      </c>
      <c r="L170" s="5" t="n"/>
    </row>
    <row r="171">
      <c r="A171" s="5" t="n">
        <v>2170</v>
      </c>
      <c r="B171" s="6" t="inlineStr">
        <is>
          <t>Aluminum Foil</t>
        </is>
      </c>
      <c r="C171" s="6" t="inlineStr">
        <is>
          <t>Foil Roll</t>
        </is>
      </c>
      <c r="D171" s="6" t="inlineStr">
        <is>
          <t>Foil Roll 18 inch 75mtr</t>
        </is>
      </c>
      <c r="E171" s="6" t="inlineStr">
        <is>
          <t>PCS</t>
        </is>
      </c>
      <c r="F171" s="6" t="inlineStr">
        <is>
          <t>Carton</t>
        </is>
      </c>
      <c r="G171" s="7" t="n">
        <v>6</v>
      </c>
      <c r="H171" s="8" t="n">
        <v>3000</v>
      </c>
      <c r="I171" s="9">
        <f>IF(G171="","",G171*H171)</f>
        <v/>
      </c>
      <c r="J171" s="8" t="n">
        <v>0</v>
      </c>
      <c r="K171" s="5">
        <f>IF(G171="","",IF(F171="","","1 "&amp;F171&amp;" = "&amp;TEXT(G171,"#,##0")&amp;" "&amp;E171))</f>
        <v/>
      </c>
      <c r="L171" s="5" t="n"/>
    </row>
    <row r="172">
      <c r="A172" s="5" t="n">
        <v>2171</v>
      </c>
      <c r="B172" s="6" t="inlineStr">
        <is>
          <t>Aluminum Foil</t>
        </is>
      </c>
      <c r="C172" s="6" t="inlineStr">
        <is>
          <t>Sealing Roll</t>
        </is>
      </c>
      <c r="D172" s="6" t="inlineStr">
        <is>
          <t>Sealing Roll 12 inch 8mtr</t>
        </is>
      </c>
      <c r="E172" s="6" t="inlineStr">
        <is>
          <t>PCS</t>
        </is>
      </c>
      <c r="F172" s="6" t="inlineStr">
        <is>
          <t>Carton</t>
        </is>
      </c>
      <c r="G172" s="7" t="n">
        <v>27</v>
      </c>
      <c r="H172" s="8" t="n">
        <v>130</v>
      </c>
      <c r="I172" s="9">
        <f>IF(G172="","",G172*H172)</f>
        <v/>
      </c>
      <c r="J172" s="8" t="n">
        <v>0</v>
      </c>
      <c r="K172" s="5">
        <f>IF(G172="","",IF(F172="","","1 "&amp;F172&amp;" = "&amp;TEXT(G172,"#,##0")&amp;" "&amp;E172))</f>
        <v/>
      </c>
      <c r="L172" s="5" t="n"/>
    </row>
    <row r="173">
      <c r="A173" s="5" t="n">
        <v>2172</v>
      </c>
      <c r="B173" s="6" t="inlineStr">
        <is>
          <t>Aluminum Foil</t>
        </is>
      </c>
      <c r="C173" s="6" t="inlineStr">
        <is>
          <t>Sealing Roll</t>
        </is>
      </c>
      <c r="D173" s="6" t="inlineStr">
        <is>
          <t>Sealing Roll 12 inch 70mtr</t>
        </is>
      </c>
      <c r="E173" s="6" t="inlineStr">
        <is>
          <t>PCS</t>
        </is>
      </c>
      <c r="F173" s="6" t="inlineStr">
        <is>
          <t>Carton</t>
        </is>
      </c>
      <c r="G173" s="7" t="n">
        <v>18</v>
      </c>
      <c r="H173" s="8" t="n">
        <v>400</v>
      </c>
      <c r="I173" s="9">
        <f>IF(G173="","",G173*H173)</f>
        <v/>
      </c>
      <c r="J173" s="8" t="n">
        <v>0</v>
      </c>
      <c r="K173" s="5">
        <f>IF(G173="","",IF(F173="","","1 "&amp;F173&amp;" = "&amp;TEXT(G173,"#,##0")&amp;" "&amp;E173))</f>
        <v/>
      </c>
      <c r="L173" s="5" t="n"/>
    </row>
    <row r="174">
      <c r="A174" s="5" t="n">
        <v>2173</v>
      </c>
      <c r="B174" s="6" t="inlineStr">
        <is>
          <t>Aluminum Foil</t>
        </is>
      </c>
      <c r="C174" s="6" t="inlineStr">
        <is>
          <t>Sealing Roll</t>
        </is>
      </c>
      <c r="D174" s="6" t="inlineStr">
        <is>
          <t>Sealing Roll 12 inch 100mtr</t>
        </is>
      </c>
      <c r="E174" s="6" t="inlineStr">
        <is>
          <t>PCS</t>
        </is>
      </c>
      <c r="F174" s="6" t="inlineStr">
        <is>
          <t>Carton</t>
        </is>
      </c>
      <c r="G174" s="7" t="n">
        <v>15</v>
      </c>
      <c r="H174" s="8" t="n">
        <v>450</v>
      </c>
      <c r="I174" s="9">
        <f>IF(G174="","",G174*H174)</f>
        <v/>
      </c>
      <c r="J174" s="8" t="n">
        <v>0</v>
      </c>
      <c r="K174" s="5">
        <f>IF(G174="","",IF(F174="","","1 "&amp;F174&amp;" = "&amp;TEXT(G174,"#,##0")&amp;" "&amp;E174))</f>
        <v/>
      </c>
      <c r="L174" s="5" t="n"/>
    </row>
    <row r="175">
      <c r="A175" s="5" t="n">
        <v>2174</v>
      </c>
      <c r="B175" s="6" t="inlineStr">
        <is>
          <t>Aluminum Foil</t>
        </is>
      </c>
      <c r="C175" s="6" t="inlineStr">
        <is>
          <t>Sealing Roll</t>
        </is>
      </c>
      <c r="D175" s="6" t="inlineStr">
        <is>
          <t>Sealing Roll 12 inch 1KG</t>
        </is>
      </c>
      <c r="E175" s="6" t="inlineStr">
        <is>
          <t>PCS</t>
        </is>
      </c>
      <c r="F175" s="6" t="inlineStr">
        <is>
          <t>Carton</t>
        </is>
      </c>
      <c r="G175" s="7" t="n">
        <v>15</v>
      </c>
      <c r="H175" s="8" t="n">
        <v>750</v>
      </c>
      <c r="I175" s="9">
        <f>IF(G175="","",G175*H175)</f>
        <v/>
      </c>
      <c r="J175" s="8" t="n">
        <v>0</v>
      </c>
      <c r="K175" s="5">
        <f>IF(G175="","",IF(F175="","","1 "&amp;F175&amp;" = "&amp;TEXT(G175,"#,##0")&amp;" "&amp;E175))</f>
        <v/>
      </c>
      <c r="L175" s="5" t="n"/>
    </row>
    <row r="176">
      <c r="A176" s="5" t="n">
        <v>2175</v>
      </c>
      <c r="B176" s="6" t="inlineStr">
        <is>
          <t>Aluminum Foil</t>
        </is>
      </c>
      <c r="C176" s="6" t="inlineStr">
        <is>
          <t>Sealing Roll</t>
        </is>
      </c>
      <c r="D176" s="6" t="inlineStr">
        <is>
          <t>Sealing Roll 18 inch 70mtr</t>
        </is>
      </c>
      <c r="E176" s="6" t="inlineStr">
        <is>
          <t>PCS</t>
        </is>
      </c>
      <c r="F176" s="6" t="inlineStr">
        <is>
          <t>Carton</t>
        </is>
      </c>
      <c r="G176" s="7" t="n">
        <v>15</v>
      </c>
      <c r="H176" s="8" t="n">
        <v>750</v>
      </c>
      <c r="I176" s="9">
        <f>IF(G176="","",G176*H176)</f>
        <v/>
      </c>
      <c r="J176" s="8" t="n">
        <v>0</v>
      </c>
      <c r="K176" s="5">
        <f>IF(G176="","",IF(F176="","","1 "&amp;F176&amp;" = "&amp;TEXT(G176,"#,##0")&amp;" "&amp;E176))</f>
        <v/>
      </c>
      <c r="L176" s="5" t="n"/>
    </row>
    <row r="177">
      <c r="A177" s="5" t="n">
        <v>2176</v>
      </c>
      <c r="B177" s="6" t="inlineStr">
        <is>
          <t>Aluminum Foil</t>
        </is>
      </c>
      <c r="C177" s="6" t="inlineStr">
        <is>
          <t>Sealing Roll</t>
        </is>
      </c>
      <c r="D177" s="6" t="inlineStr">
        <is>
          <t>Sealing Roll 18 inch 100mtr</t>
        </is>
      </c>
      <c r="E177" s="6" t="inlineStr">
        <is>
          <t>PCS</t>
        </is>
      </c>
      <c r="F177" s="6" t="inlineStr">
        <is>
          <t>Carton</t>
        </is>
      </c>
      <c r="G177" s="7" t="n">
        <v>15</v>
      </c>
      <c r="H177" s="8" t="n">
        <v>800</v>
      </c>
      <c r="I177" s="9">
        <f>IF(G177="","",G177*H177)</f>
        <v/>
      </c>
      <c r="J177" s="8" t="n">
        <v>0</v>
      </c>
      <c r="K177" s="5">
        <f>IF(G177="","",IF(F177="","","1 "&amp;F177&amp;" = "&amp;TEXT(G177,"#,##0")&amp;" "&amp;E177))</f>
        <v/>
      </c>
      <c r="L177" s="5" t="n"/>
    </row>
    <row r="178">
      <c r="A178" s="5" t="n">
        <v>2177</v>
      </c>
      <c r="B178" s="6" t="inlineStr">
        <is>
          <t>Aluminum Foil</t>
        </is>
      </c>
      <c r="C178" s="6" t="inlineStr">
        <is>
          <t>Sealing Roll</t>
        </is>
      </c>
      <c r="D178" s="6" t="inlineStr">
        <is>
          <t>Sealing Roll 18 inch 1KG</t>
        </is>
      </c>
      <c r="E178" s="6" t="inlineStr">
        <is>
          <t>PCS</t>
        </is>
      </c>
      <c r="F178" s="6" t="inlineStr">
        <is>
          <t>Carton</t>
        </is>
      </c>
      <c r="G178" s="7" t="n">
        <v>15</v>
      </c>
      <c r="H178" s="8" t="n">
        <v>850</v>
      </c>
      <c r="I178" s="9">
        <f>IF(G178="","",G178*H178)</f>
        <v/>
      </c>
      <c r="J178" s="8" t="n">
        <v>0</v>
      </c>
      <c r="K178" s="5">
        <f>IF(G178="","",IF(F178="","","1 "&amp;F178&amp;" = "&amp;TEXT(G178,"#,##0")&amp;" "&amp;E178))</f>
        <v/>
      </c>
      <c r="L178" s="5" t="n"/>
    </row>
    <row r="179">
      <c r="A179" s="5" t="n">
        <v>2178</v>
      </c>
      <c r="B179" s="6" t="inlineStr">
        <is>
          <t>Plates</t>
        </is>
      </c>
      <c r="C179" s="6" t="inlineStr">
        <is>
          <t>Plastic Plates</t>
        </is>
      </c>
      <c r="D179" s="6" t="inlineStr">
        <is>
          <t>Plastic Plate M</t>
        </is>
      </c>
      <c r="E179" s="6" t="inlineStr">
        <is>
          <t>PCS</t>
        </is>
      </c>
      <c r="F179" s="6" t="inlineStr">
        <is>
          <t>Carton</t>
        </is>
      </c>
      <c r="G179" s="7" t="n">
        <v>800</v>
      </c>
      <c r="H179" s="8" t="n">
        <v>10</v>
      </c>
      <c r="I179" s="9">
        <f>IF(G179="","",G179*H179)</f>
        <v/>
      </c>
      <c r="J179" s="8" t="n">
        <v>0</v>
      </c>
      <c r="K179" s="5">
        <f>IF(G179="","",IF(F179="","","1 "&amp;F179&amp;" = "&amp;TEXT(G179,"#,##0")&amp;" "&amp;E179))</f>
        <v/>
      </c>
      <c r="L179" s="5" t="n"/>
    </row>
    <row r="180">
      <c r="A180" s="5" t="n">
        <v>2179</v>
      </c>
      <c r="B180" s="6" t="inlineStr">
        <is>
          <t>Plates</t>
        </is>
      </c>
      <c r="C180" s="6" t="inlineStr">
        <is>
          <t>Plastic Plates</t>
        </is>
      </c>
      <c r="D180" s="6" t="inlineStr">
        <is>
          <t>Plastic Plate L</t>
        </is>
      </c>
      <c r="E180" s="6" t="inlineStr">
        <is>
          <t>PCS</t>
        </is>
      </c>
      <c r="F180" s="6" t="inlineStr">
        <is>
          <t>Carton</t>
        </is>
      </c>
      <c r="G180" s="7" t="n">
        <v>800</v>
      </c>
      <c r="H180" s="8" t="n">
        <v>11</v>
      </c>
      <c r="I180" s="9">
        <f>IF(G180="","",G180*H180)</f>
        <v/>
      </c>
      <c r="J180" s="8" t="n">
        <v>0</v>
      </c>
      <c r="K180" s="5">
        <f>IF(G180="","",IF(F180="","","1 "&amp;F180&amp;" = "&amp;TEXT(G180,"#,##0")&amp;" "&amp;E180))</f>
        <v/>
      </c>
      <c r="L180" s="5" t="n"/>
    </row>
    <row r="181">
      <c r="A181" s="5" t="n">
        <v>2180</v>
      </c>
      <c r="B181" s="6" t="inlineStr">
        <is>
          <t>Plates</t>
        </is>
      </c>
      <c r="C181" s="6" t="inlineStr">
        <is>
          <t>Plastic Plates</t>
        </is>
      </c>
      <c r="D181" s="6" t="inlineStr">
        <is>
          <t>Plastic Plate XL</t>
        </is>
      </c>
      <c r="E181" s="6" t="inlineStr">
        <is>
          <t>PCS</t>
        </is>
      </c>
      <c r="F181" s="6" t="inlineStr">
        <is>
          <t>Carton</t>
        </is>
      </c>
      <c r="G181" s="7" t="n">
        <v>800</v>
      </c>
      <c r="H181" s="8" t="n">
        <v>12</v>
      </c>
      <c r="I181" s="9">
        <f>IF(G181="","",G181*H181)</f>
        <v/>
      </c>
      <c r="J181" s="8" t="n">
        <v>0</v>
      </c>
      <c r="K181" s="5">
        <f>IF(G181="","",IF(F181="","","1 "&amp;F181&amp;" = "&amp;TEXT(G181,"#,##0")&amp;" "&amp;E181))</f>
        <v/>
      </c>
      <c r="L181" s="5" t="n"/>
    </row>
    <row r="182">
      <c r="A182" s="5" t="n">
        <v>2181</v>
      </c>
      <c r="B182" s="6" t="inlineStr">
        <is>
          <t>Plates</t>
        </is>
      </c>
      <c r="C182" s="6" t="inlineStr">
        <is>
          <t>Paper Plates</t>
        </is>
      </c>
      <c r="D182" s="6" t="inlineStr">
        <is>
          <t>Paper Plate 3-A</t>
        </is>
      </c>
      <c r="E182" s="6" t="inlineStr">
        <is>
          <t>PCS</t>
        </is>
      </c>
      <c r="F182" s="6" t="inlineStr">
        <is>
          <t>Carton</t>
        </is>
      </c>
      <c r="G182" s="7" t="n">
        <v>250</v>
      </c>
      <c r="H182" s="8" t="n">
        <v>3</v>
      </c>
      <c r="I182" s="9">
        <f>IF(G182="","",G182*H182)</f>
        <v/>
      </c>
      <c r="J182" s="8" t="n">
        <v>0</v>
      </c>
      <c r="K182" s="5">
        <f>IF(G182="","",IF(F182="","","1 "&amp;F182&amp;" = "&amp;TEXT(G182,"#,##0")&amp;" "&amp;E182))</f>
        <v/>
      </c>
      <c r="L182" s="5" t="n"/>
    </row>
    <row r="183">
      <c r="A183" s="5" t="n">
        <v>2182</v>
      </c>
      <c r="B183" s="6" t="inlineStr">
        <is>
          <t>Plates</t>
        </is>
      </c>
      <c r="C183" s="6" t="inlineStr">
        <is>
          <t>Paper Plates</t>
        </is>
      </c>
      <c r="D183" s="6" t="inlineStr">
        <is>
          <t>Paper Plate 5-A</t>
        </is>
      </c>
      <c r="E183" s="6" t="inlineStr">
        <is>
          <t>PCS</t>
        </is>
      </c>
      <c r="F183" s="6" t="inlineStr">
        <is>
          <t>Carton</t>
        </is>
      </c>
      <c r="G183" s="7" t="n">
        <v>250</v>
      </c>
      <c r="H183" s="8" t="n">
        <v>5</v>
      </c>
      <c r="I183" s="9">
        <f>IF(G183="","",G183*H183)</f>
        <v/>
      </c>
      <c r="J183" s="8" t="n">
        <v>0</v>
      </c>
      <c r="K183" s="5">
        <f>IF(G183="","",IF(F183="","","1 "&amp;F183&amp;" = "&amp;TEXT(G183,"#,##0")&amp;" "&amp;E183))</f>
        <v/>
      </c>
      <c r="L183" s="5" t="n"/>
    </row>
    <row r="184">
      <c r="A184" s="5" t="n">
        <v>2183</v>
      </c>
      <c r="B184" s="6" t="inlineStr">
        <is>
          <t>Plates</t>
        </is>
      </c>
      <c r="C184" s="6" t="inlineStr">
        <is>
          <t>Paper Plates</t>
        </is>
      </c>
      <c r="D184" s="6" t="inlineStr">
        <is>
          <t>Paper Plate 6-A</t>
        </is>
      </c>
      <c r="E184" s="6" t="inlineStr">
        <is>
          <t>PCS</t>
        </is>
      </c>
      <c r="F184" s="6" t="inlineStr">
        <is>
          <t>Carton</t>
        </is>
      </c>
      <c r="G184" s="7" t="n">
        <v>250</v>
      </c>
      <c r="H184" s="8" t="n">
        <v>6</v>
      </c>
      <c r="I184" s="9">
        <f>IF(G184="","",G184*H184)</f>
        <v/>
      </c>
      <c r="J184" s="8" t="n">
        <v>0</v>
      </c>
      <c r="K184" s="5">
        <f>IF(G184="","",IF(F184="","","1 "&amp;F184&amp;" = "&amp;TEXT(G184,"#,##0")&amp;" "&amp;E184))</f>
        <v/>
      </c>
      <c r="L184" s="5" t="n"/>
    </row>
    <row r="185">
      <c r="A185" s="5" t="n">
        <v>2184</v>
      </c>
      <c r="B185" s="6" t="inlineStr">
        <is>
          <t>Plates</t>
        </is>
      </c>
      <c r="C185" s="6" t="inlineStr">
        <is>
          <t>Ketchup Plates</t>
        </is>
      </c>
      <c r="D185" s="6" t="inlineStr">
        <is>
          <t>Ketchup Plate Ravi</t>
        </is>
      </c>
      <c r="E185" s="6" t="inlineStr">
        <is>
          <t>Packet</t>
        </is>
      </c>
      <c r="F185" s="6" t="inlineStr">
        <is>
          <t>Carton</t>
        </is>
      </c>
      <c r="G185" s="7" t="n">
        <v>50</v>
      </c>
      <c r="H185" s="8" t="n">
        <v>90</v>
      </c>
      <c r="I185" s="9">
        <f>IF(G185="","",G185*H185)</f>
        <v/>
      </c>
      <c r="J185" s="8" t="n">
        <v>0</v>
      </c>
      <c r="K185" s="5">
        <f>IF(G185="","",IF(F185="","","1 "&amp;F185&amp;" = "&amp;TEXT(G185,"#,##0")&amp;" "&amp;E185))</f>
        <v/>
      </c>
      <c r="L185" s="5" t="inlineStr">
        <is>
          <t>Carton: 50 packet</t>
        </is>
      </c>
    </row>
    <row r="186">
      <c r="A186" s="5" t="n">
        <v>2185</v>
      </c>
      <c r="B186" s="6" t="inlineStr">
        <is>
          <t>Plates</t>
        </is>
      </c>
      <c r="C186" s="6" t="inlineStr">
        <is>
          <t>Ketchup Plates</t>
        </is>
      </c>
      <c r="D186" s="6" t="inlineStr">
        <is>
          <t>Ketchup Plate KR</t>
        </is>
      </c>
      <c r="E186" s="6" t="inlineStr">
        <is>
          <t>Packet</t>
        </is>
      </c>
      <c r="F186" s="6" t="inlineStr">
        <is>
          <t>Carton</t>
        </is>
      </c>
      <c r="G186" s="7" t="n">
        <v>100</v>
      </c>
      <c r="H186" s="8" t="n">
        <v>90</v>
      </c>
      <c r="I186" s="9">
        <f>IF(G186="","",G186*H186)</f>
        <v/>
      </c>
      <c r="J186" s="8" t="n">
        <v>0</v>
      </c>
      <c r="K186" s="5">
        <f>IF(G186="","",IF(F186="","","1 "&amp;F186&amp;" = "&amp;TEXT(G186,"#,##0")&amp;" "&amp;E186))</f>
        <v/>
      </c>
      <c r="L186" s="5" t="inlineStr">
        <is>
          <t>Carton: 100 packet</t>
        </is>
      </c>
    </row>
    <row r="187">
      <c r="A187" s="5" t="n">
        <v>2186</v>
      </c>
      <c r="B187" s="6" t="inlineStr">
        <is>
          <t>H Series</t>
        </is>
      </c>
      <c r="C187" s="6" t="inlineStr">
        <is>
          <t>H Series</t>
        </is>
      </c>
      <c r="D187" s="6" t="inlineStr">
        <is>
          <t>H-1 Container</t>
        </is>
      </c>
      <c r="E187" s="6" t="inlineStr">
        <is>
          <t>PCS</t>
        </is>
      </c>
      <c r="F187" s="6" t="inlineStr">
        <is>
          <t>Carton</t>
        </is>
      </c>
      <c r="G187" s="7" t="n">
        <v>3000</v>
      </c>
      <c r="H187" s="8" t="n">
        <v>3.5</v>
      </c>
      <c r="I187" s="9">
        <f>IF(G187="","",G187*H187)</f>
        <v/>
      </c>
      <c r="J187" s="8" t="n">
        <v>0</v>
      </c>
      <c r="K187" s="5">
        <f>IF(G187="","",IF(F187="","","1 "&amp;F187&amp;" = "&amp;TEXT(G187,"#,##0")&amp;" "&amp;E187))</f>
        <v/>
      </c>
      <c r="L187" s="5" t="n"/>
    </row>
    <row r="188">
      <c r="A188" s="5" t="n">
        <v>2187</v>
      </c>
      <c r="B188" s="6" t="inlineStr">
        <is>
          <t>H Series</t>
        </is>
      </c>
      <c r="C188" s="6" t="inlineStr">
        <is>
          <t>H Series</t>
        </is>
      </c>
      <c r="D188" s="6" t="inlineStr">
        <is>
          <t>H-2 Container</t>
        </is>
      </c>
      <c r="E188" s="6" t="inlineStr">
        <is>
          <t>PCS</t>
        </is>
      </c>
      <c r="F188" s="6" t="inlineStr">
        <is>
          <t>Carton</t>
        </is>
      </c>
      <c r="G188" s="7" t="n">
        <v>2000</v>
      </c>
      <c r="H188" s="8" t="n">
        <v>3.5</v>
      </c>
      <c r="I188" s="9">
        <f>IF(G188="","",G188*H188)</f>
        <v/>
      </c>
      <c r="J188" s="8" t="n">
        <v>0</v>
      </c>
      <c r="K188" s="5">
        <f>IF(G188="","",IF(F188="","","1 "&amp;F188&amp;" = "&amp;TEXT(G188,"#,##0")&amp;" "&amp;E188))</f>
        <v/>
      </c>
      <c r="L188" s="5" t="n"/>
    </row>
    <row r="189">
      <c r="A189" s="5" t="n">
        <v>2188</v>
      </c>
      <c r="B189" s="6" t="inlineStr">
        <is>
          <t>H Series</t>
        </is>
      </c>
      <c r="C189" s="6" t="inlineStr">
        <is>
          <t>H Series</t>
        </is>
      </c>
      <c r="D189" s="6" t="inlineStr">
        <is>
          <t>H-3 Container</t>
        </is>
      </c>
      <c r="E189" s="6" t="inlineStr">
        <is>
          <t>PCS</t>
        </is>
      </c>
      <c r="F189" s="6" t="inlineStr">
        <is>
          <t>Carton</t>
        </is>
      </c>
      <c r="G189" s="7" t="n">
        <v>2000</v>
      </c>
      <c r="H189" s="8" t="n">
        <v>5</v>
      </c>
      <c r="I189" s="9">
        <f>IF(G189="","",G189*H189)</f>
        <v/>
      </c>
      <c r="J189" s="8" t="n">
        <v>0</v>
      </c>
      <c r="K189" s="5">
        <f>IF(G189="","",IF(F189="","","1 "&amp;F189&amp;" = "&amp;TEXT(G189,"#,##0")&amp;" "&amp;E189))</f>
        <v/>
      </c>
      <c r="L189" s="5" t="n"/>
    </row>
    <row r="190">
      <c r="A190" s="5" t="n">
        <v>2189</v>
      </c>
      <c r="B190" s="6" t="inlineStr">
        <is>
          <t>H Series</t>
        </is>
      </c>
      <c r="C190" s="6" t="inlineStr">
        <is>
          <t>H Series</t>
        </is>
      </c>
      <c r="D190" s="6" t="inlineStr">
        <is>
          <t>H-6 Container</t>
        </is>
      </c>
      <c r="E190" s="6" t="inlineStr">
        <is>
          <t>PCS</t>
        </is>
      </c>
      <c r="F190" s="6" t="inlineStr">
        <is>
          <t>Carton</t>
        </is>
      </c>
      <c r="G190" s="7" t="n">
        <v>1000</v>
      </c>
      <c r="H190" s="8" t="n">
        <v>8</v>
      </c>
      <c r="I190" s="9">
        <f>IF(G190="","",G190*H190)</f>
        <v/>
      </c>
      <c r="J190" s="8" t="n">
        <v>0</v>
      </c>
      <c r="K190" s="5">
        <f>IF(G190="","",IF(F190="","","1 "&amp;F190&amp;" = "&amp;TEXT(G190,"#,##0")&amp;" "&amp;E190))</f>
        <v/>
      </c>
      <c r="L190" s="5" t="n"/>
    </row>
    <row r="191">
      <c r="A191" s="5" t="n">
        <v>2190</v>
      </c>
      <c r="B191" s="6" t="inlineStr">
        <is>
          <t>H Series</t>
        </is>
      </c>
      <c r="C191" s="6" t="inlineStr">
        <is>
          <t>H Series</t>
        </is>
      </c>
      <c r="D191" s="6" t="inlineStr">
        <is>
          <t>H-9 Container</t>
        </is>
      </c>
      <c r="E191" s="6" t="inlineStr">
        <is>
          <t>PCS</t>
        </is>
      </c>
      <c r="F191" s="6" t="inlineStr">
        <is>
          <t>Carton</t>
        </is>
      </c>
      <c r="G191" s="7" t="n">
        <v>2000</v>
      </c>
      <c r="H191" s="8" t="n">
        <v>3</v>
      </c>
      <c r="I191" s="9">
        <f>IF(G191="","",G191*H191)</f>
        <v/>
      </c>
      <c r="J191" s="8" t="n">
        <v>0</v>
      </c>
      <c r="K191" s="5">
        <f>IF(G191="","",IF(F191="","","1 "&amp;F191&amp;" = "&amp;TEXT(G191,"#,##0")&amp;" "&amp;E191))</f>
        <v/>
      </c>
      <c r="L191" s="5" t="n"/>
    </row>
    <row r="192">
      <c r="A192" s="5" t="n">
        <v>2191</v>
      </c>
      <c r="B192" s="6" t="inlineStr">
        <is>
          <t>W Series</t>
        </is>
      </c>
      <c r="C192" s="6" t="inlineStr">
        <is>
          <t>Attach Lid</t>
        </is>
      </c>
      <c r="D192" s="6" t="inlineStr">
        <is>
          <t>W 150 AMS Attach Lid</t>
        </is>
      </c>
      <c r="E192" s="6" t="inlineStr">
        <is>
          <t>PCS</t>
        </is>
      </c>
      <c r="F192" s="6" t="inlineStr">
        <is>
          <t>Carton</t>
        </is>
      </c>
      <c r="G192" s="7" t="n">
        <v>1000</v>
      </c>
      <c r="H192" s="8" t="n">
        <v>5.5</v>
      </c>
      <c r="I192" s="9">
        <f>IF(G192="","",G192*H192)</f>
        <v/>
      </c>
      <c r="J192" s="8" t="n">
        <v>0</v>
      </c>
      <c r="K192" s="5">
        <f>IF(G192="","",IF(F192="","","1 "&amp;F192&amp;" = "&amp;TEXT(G192,"#,##0")&amp;" "&amp;E192))</f>
        <v/>
      </c>
      <c r="L192" s="5" t="n"/>
    </row>
    <row r="193">
      <c r="A193" s="5" t="n">
        <v>2192</v>
      </c>
      <c r="B193" s="6" t="inlineStr">
        <is>
          <t>W Series</t>
        </is>
      </c>
      <c r="C193" s="6" t="inlineStr">
        <is>
          <t>Attach Lid</t>
        </is>
      </c>
      <c r="D193" s="6" t="inlineStr">
        <is>
          <t>W 200 AMS Attach Lid</t>
        </is>
      </c>
      <c r="E193" s="6" t="inlineStr">
        <is>
          <t>PCS</t>
        </is>
      </c>
      <c r="F193" s="6" t="inlineStr">
        <is>
          <t>Carton</t>
        </is>
      </c>
      <c r="G193" s="7" t="n">
        <v>1000</v>
      </c>
      <c r="H193" s="8" t="n">
        <v>5.5</v>
      </c>
      <c r="I193" s="9">
        <f>IF(G193="","",G193*H193)</f>
        <v/>
      </c>
      <c r="J193" s="8" t="n">
        <v>0</v>
      </c>
      <c r="K193" s="5">
        <f>IF(G193="","",IF(F193="","","1 "&amp;F193&amp;" = "&amp;TEXT(G193,"#,##0")&amp;" "&amp;E193))</f>
        <v/>
      </c>
      <c r="L193" s="5" t="n"/>
    </row>
    <row r="194">
      <c r="A194" s="5" t="n">
        <v>2193</v>
      </c>
      <c r="B194" s="6" t="inlineStr">
        <is>
          <t>W Series</t>
        </is>
      </c>
      <c r="C194" s="6" t="inlineStr">
        <is>
          <t>Attach Lid</t>
        </is>
      </c>
      <c r="D194" s="6" t="inlineStr">
        <is>
          <t>W 150 Shalimar Attach Lid</t>
        </is>
      </c>
      <c r="E194" s="6" t="inlineStr">
        <is>
          <t>PCS</t>
        </is>
      </c>
      <c r="F194" s="6" t="inlineStr">
        <is>
          <t>Carton</t>
        </is>
      </c>
      <c r="G194" s="7" t="n">
        <v>900</v>
      </c>
      <c r="H194" s="8" t="n">
        <v>5.5</v>
      </c>
      <c r="I194" s="9">
        <f>IF(G194="","",G194*H194)</f>
        <v/>
      </c>
      <c r="J194" s="8" t="n">
        <v>0</v>
      </c>
      <c r="K194" s="5">
        <f>IF(G194="","",IF(F194="","","1 "&amp;F194&amp;" = "&amp;TEXT(G194,"#,##0")&amp;" "&amp;E194))</f>
        <v/>
      </c>
      <c r="L194" s="5" t="n"/>
    </row>
    <row r="195">
      <c r="A195" s="5" t="n">
        <v>2194</v>
      </c>
      <c r="B195" s="6" t="inlineStr">
        <is>
          <t>W Series</t>
        </is>
      </c>
      <c r="C195" s="6" t="inlineStr">
        <is>
          <t>Attach Lid</t>
        </is>
      </c>
      <c r="D195" s="6" t="inlineStr">
        <is>
          <t>W 200 Shalimar Attach Lid</t>
        </is>
      </c>
      <c r="E195" s="6" t="inlineStr">
        <is>
          <t>PCS</t>
        </is>
      </c>
      <c r="F195" s="6" t="inlineStr">
        <is>
          <t>Carton</t>
        </is>
      </c>
      <c r="G195" s="7" t="n">
        <v>900</v>
      </c>
      <c r="H195" s="8" t="n">
        <v>5.5</v>
      </c>
      <c r="I195" s="9">
        <f>IF(G195="","",G195*H195)</f>
        <v/>
      </c>
      <c r="J195" s="8" t="n">
        <v>0</v>
      </c>
      <c r="K195" s="5">
        <f>IF(G195="","",IF(F195="","","1 "&amp;F195&amp;" = "&amp;TEXT(G195,"#,##0")&amp;" "&amp;E195))</f>
        <v/>
      </c>
      <c r="L195" s="5" t="n"/>
    </row>
    <row r="196">
      <c r="A196" s="5" t="n">
        <v>2195</v>
      </c>
      <c r="B196" s="6" t="inlineStr">
        <is>
          <t>W Series</t>
        </is>
      </c>
      <c r="C196" s="6" t="inlineStr">
        <is>
          <t>Attach Lid</t>
        </is>
      </c>
      <c r="D196" s="6" t="inlineStr">
        <is>
          <t>W 150 Diamond Attach Lid</t>
        </is>
      </c>
      <c r="E196" s="6" t="inlineStr">
        <is>
          <t>PCS</t>
        </is>
      </c>
      <c r="F196" s="6" t="inlineStr">
        <is>
          <t>Carton</t>
        </is>
      </c>
      <c r="G196" s="7" t="n">
        <v>1000</v>
      </c>
      <c r="H196" s="8" t="n">
        <v>5.5</v>
      </c>
      <c r="I196" s="9">
        <f>IF(G196="","",G196*H196)</f>
        <v/>
      </c>
      <c r="J196" s="8" t="n">
        <v>0</v>
      </c>
      <c r="K196" s="5">
        <f>IF(G196="","",IF(F196="","","1 "&amp;F196&amp;" = "&amp;TEXT(G196,"#,##0")&amp;" "&amp;E196))</f>
        <v/>
      </c>
      <c r="L196" s="5" t="n"/>
    </row>
    <row r="197">
      <c r="A197" s="5" t="n">
        <v>2196</v>
      </c>
      <c r="B197" s="6" t="inlineStr">
        <is>
          <t>W Series</t>
        </is>
      </c>
      <c r="C197" s="6" t="inlineStr">
        <is>
          <t>Attach Lid</t>
        </is>
      </c>
      <c r="D197" s="6" t="inlineStr">
        <is>
          <t>W 250 Diamond Attach Lid</t>
        </is>
      </c>
      <c r="E197" s="6" t="inlineStr">
        <is>
          <t>PCS</t>
        </is>
      </c>
      <c r="F197" s="6" t="inlineStr">
        <is>
          <t>Carton</t>
        </is>
      </c>
      <c r="G197" s="7" t="n">
        <v>1000</v>
      </c>
      <c r="H197" s="8" t="n">
        <v>5.5</v>
      </c>
      <c r="I197" s="9">
        <f>IF(G197="","",G197*H197)</f>
        <v/>
      </c>
      <c r="J197" s="8" t="n">
        <v>0</v>
      </c>
      <c r="K197" s="5">
        <f>IF(G197="","",IF(F197="","","1 "&amp;F197&amp;" = "&amp;TEXT(G197,"#,##0")&amp;" "&amp;E197))</f>
        <v/>
      </c>
      <c r="L197" s="5" t="n"/>
    </row>
    <row r="198">
      <c r="A198" s="5" t="n">
        <v>2197</v>
      </c>
      <c r="B198" s="6" t="inlineStr">
        <is>
          <t>W Series</t>
        </is>
      </c>
      <c r="C198" s="6" t="inlineStr">
        <is>
          <t>Container</t>
        </is>
      </c>
      <c r="D198" s="6" t="inlineStr">
        <is>
          <t>W 150 AP Container</t>
        </is>
      </c>
      <c r="E198" s="6" t="inlineStr">
        <is>
          <t>PCS</t>
        </is>
      </c>
      <c r="F198" s="6" t="inlineStr">
        <is>
          <t>Carton</t>
        </is>
      </c>
      <c r="G198" s="7" t="n">
        <v>500</v>
      </c>
      <c r="H198" s="8" t="n">
        <v>14</v>
      </c>
      <c r="I198" s="9">
        <f>IF(G198="","",G198*H198)</f>
        <v/>
      </c>
      <c r="J198" s="8" t="n">
        <v>0</v>
      </c>
      <c r="K198" s="5">
        <f>IF(G198="","",IF(F198="","","1 "&amp;F198&amp;" = "&amp;TEXT(G198,"#,##0")&amp;" "&amp;E198))</f>
        <v/>
      </c>
      <c r="L198" s="5" t="n"/>
    </row>
    <row r="199">
      <c r="A199" s="5" t="n">
        <v>2198</v>
      </c>
      <c r="B199" s="6" t="inlineStr">
        <is>
          <t>W Series</t>
        </is>
      </c>
      <c r="C199" s="6" t="inlineStr">
        <is>
          <t>Container</t>
        </is>
      </c>
      <c r="D199" s="6" t="inlineStr">
        <is>
          <t>W 200 AP Container</t>
        </is>
      </c>
      <c r="E199" s="6" t="inlineStr">
        <is>
          <t>PCS</t>
        </is>
      </c>
      <c r="F199" s="6" t="inlineStr">
        <is>
          <t>Carton</t>
        </is>
      </c>
      <c r="G199" s="7" t="n">
        <v>500</v>
      </c>
      <c r="H199" s="8" t="n">
        <v>14.5</v>
      </c>
      <c r="I199" s="9">
        <f>IF(G199="","",G199*H199)</f>
        <v/>
      </c>
      <c r="J199" s="8" t="n">
        <v>0</v>
      </c>
      <c r="K199" s="5">
        <f>IF(G199="","",IF(F199="","","1 "&amp;F199&amp;" = "&amp;TEXT(G199,"#,##0")&amp;" "&amp;E199))</f>
        <v/>
      </c>
      <c r="L199" s="5" t="n"/>
    </row>
    <row r="200">
      <c r="A200" s="5" t="n">
        <v>2199</v>
      </c>
      <c r="B200" s="6" t="inlineStr">
        <is>
          <t>W Series</t>
        </is>
      </c>
      <c r="C200" s="6" t="inlineStr">
        <is>
          <t>Container</t>
        </is>
      </c>
      <c r="D200" s="6" t="inlineStr">
        <is>
          <t>W 250 AP Container</t>
        </is>
      </c>
      <c r="E200" s="6" t="inlineStr">
        <is>
          <t>PCS</t>
        </is>
      </c>
      <c r="F200" s="6" t="inlineStr">
        <is>
          <t>Carton</t>
        </is>
      </c>
      <c r="G200" s="7" t="n">
        <v>500</v>
      </c>
      <c r="H200" s="8" t="n">
        <v>15</v>
      </c>
      <c r="I200" s="9">
        <f>IF(G200="","",G200*H200)</f>
        <v/>
      </c>
      <c r="J200" s="8" t="n">
        <v>0</v>
      </c>
      <c r="K200" s="5">
        <f>IF(G200="","",IF(F200="","","1 "&amp;F200&amp;" = "&amp;TEXT(G200,"#,##0")&amp;" "&amp;E200))</f>
        <v/>
      </c>
      <c r="L200" s="5" t="n"/>
    </row>
    <row r="201">
      <c r="A201" s="5" t="n">
        <v>2200</v>
      </c>
      <c r="B201" s="6" t="inlineStr">
        <is>
          <t>W Series</t>
        </is>
      </c>
      <c r="C201" s="6" t="inlineStr">
        <is>
          <t>Container</t>
        </is>
      </c>
      <c r="D201" s="6" t="inlineStr">
        <is>
          <t>W 150 Club Container</t>
        </is>
      </c>
      <c r="E201" s="6" t="inlineStr">
        <is>
          <t>PCS</t>
        </is>
      </c>
      <c r="F201" s="6" t="inlineStr">
        <is>
          <t>Carton</t>
        </is>
      </c>
      <c r="G201" s="7" t="n">
        <v>500</v>
      </c>
      <c r="H201" s="8" t="n">
        <v>14</v>
      </c>
      <c r="I201" s="9">
        <f>IF(G201="","",G201*H201)</f>
        <v/>
      </c>
      <c r="J201" s="8" t="n">
        <v>0</v>
      </c>
      <c r="K201" s="5">
        <f>IF(G201="","",IF(F201="","","1 "&amp;F201&amp;" = "&amp;TEXT(G201,"#,##0")&amp;" "&amp;E201))</f>
        <v/>
      </c>
      <c r="L201" s="5" t="n"/>
    </row>
    <row r="202">
      <c r="A202" s="5" t="n">
        <v>2201</v>
      </c>
      <c r="B202" s="6" t="inlineStr">
        <is>
          <t>W Series</t>
        </is>
      </c>
      <c r="C202" s="6" t="inlineStr">
        <is>
          <t>Container</t>
        </is>
      </c>
      <c r="D202" s="6" t="inlineStr">
        <is>
          <t>W 200 Club Container</t>
        </is>
      </c>
      <c r="E202" s="6" t="inlineStr">
        <is>
          <t>PCS</t>
        </is>
      </c>
      <c r="F202" s="6" t="inlineStr">
        <is>
          <t>Carton</t>
        </is>
      </c>
      <c r="G202" s="7" t="n">
        <v>500</v>
      </c>
      <c r="H202" s="8" t="n">
        <v>14.5</v>
      </c>
      <c r="I202" s="9">
        <f>IF(G202="","",G202*H202)</f>
        <v/>
      </c>
      <c r="J202" s="8" t="n">
        <v>0</v>
      </c>
      <c r="K202" s="5">
        <f>IF(G202="","",IF(F202="","","1 "&amp;F202&amp;" = "&amp;TEXT(G202,"#,##0")&amp;" "&amp;E202))</f>
        <v/>
      </c>
      <c r="L202" s="5" t="n"/>
    </row>
    <row r="203">
      <c r="A203" s="5" t="n">
        <v>2202</v>
      </c>
      <c r="B203" s="6" t="inlineStr">
        <is>
          <t>W Series</t>
        </is>
      </c>
      <c r="C203" s="6" t="inlineStr">
        <is>
          <t>Container</t>
        </is>
      </c>
      <c r="D203" s="6" t="inlineStr">
        <is>
          <t>W 250 Club Container</t>
        </is>
      </c>
      <c r="E203" s="6" t="inlineStr">
        <is>
          <t>PCS</t>
        </is>
      </c>
      <c r="F203" s="6" t="inlineStr">
        <is>
          <t>Carton</t>
        </is>
      </c>
      <c r="G203" s="7" t="n">
        <v>500</v>
      </c>
      <c r="H203" s="8" t="n">
        <v>15</v>
      </c>
      <c r="I203" s="9">
        <f>IF(G203="","",G203*H203)</f>
        <v/>
      </c>
      <c r="J203" s="8" t="n">
        <v>0</v>
      </c>
      <c r="K203" s="5">
        <f>IF(G203="","",IF(F203="","","1 "&amp;F203&amp;" = "&amp;TEXT(G203,"#,##0")&amp;" "&amp;E203))</f>
        <v/>
      </c>
      <c r="L203" s="5" t="n"/>
    </row>
    <row r="204">
      <c r="A204" s="5" t="n">
        <v>2203</v>
      </c>
      <c r="B204" s="6" t="inlineStr">
        <is>
          <t>W Series</t>
        </is>
      </c>
      <c r="C204" s="6" t="inlineStr">
        <is>
          <t>Container</t>
        </is>
      </c>
      <c r="D204" s="6" t="inlineStr">
        <is>
          <t>W 150 X-Pak Container</t>
        </is>
      </c>
      <c r="E204" s="6" t="inlineStr">
        <is>
          <t>PCS</t>
        </is>
      </c>
      <c r="F204" s="6" t="inlineStr">
        <is>
          <t>Carton</t>
        </is>
      </c>
      <c r="G204" s="7" t="n">
        <v>500</v>
      </c>
      <c r="H204" s="8" t="n">
        <v>14</v>
      </c>
      <c r="I204" s="9">
        <f>IF(G204="","",G204*H204)</f>
        <v/>
      </c>
      <c r="J204" s="8" t="n">
        <v>0</v>
      </c>
      <c r="K204" s="5">
        <f>IF(G204="","",IF(F204="","","1 "&amp;F204&amp;" = "&amp;TEXT(G204,"#,##0")&amp;" "&amp;E204))</f>
        <v/>
      </c>
      <c r="L204" s="5" t="n"/>
    </row>
    <row r="205">
      <c r="A205" s="5" t="n">
        <v>2204</v>
      </c>
      <c r="B205" s="6" t="inlineStr">
        <is>
          <t>W Series</t>
        </is>
      </c>
      <c r="C205" s="6" t="inlineStr">
        <is>
          <t>Container</t>
        </is>
      </c>
      <c r="D205" s="6" t="inlineStr">
        <is>
          <t>W 200 X-Pak Container</t>
        </is>
      </c>
      <c r="E205" s="6" t="inlineStr">
        <is>
          <t>PCS</t>
        </is>
      </c>
      <c r="F205" s="6" t="inlineStr">
        <is>
          <t>Carton</t>
        </is>
      </c>
      <c r="G205" s="7" t="n">
        <v>500</v>
      </c>
      <c r="H205" s="8" t="n">
        <v>14.5</v>
      </c>
      <c r="I205" s="9">
        <f>IF(G205="","",G205*H205)</f>
        <v/>
      </c>
      <c r="J205" s="8" t="n">
        <v>0</v>
      </c>
      <c r="K205" s="5">
        <f>IF(G205="","",IF(F205="","","1 "&amp;F205&amp;" = "&amp;TEXT(G205,"#,##0")&amp;" "&amp;E205))</f>
        <v/>
      </c>
      <c r="L205" s="5" t="n"/>
    </row>
    <row r="206">
      <c r="A206" s="5" t="n">
        <v>2205</v>
      </c>
      <c r="B206" s="6" t="inlineStr">
        <is>
          <t>W Series</t>
        </is>
      </c>
      <c r="C206" s="6" t="inlineStr">
        <is>
          <t>Container</t>
        </is>
      </c>
      <c r="D206" s="6" t="inlineStr">
        <is>
          <t>W 250 X-Pak Container</t>
        </is>
      </c>
      <c r="E206" s="6" t="inlineStr">
        <is>
          <t>PCS</t>
        </is>
      </c>
      <c r="F206" s="6" t="inlineStr">
        <is>
          <t>Carton</t>
        </is>
      </c>
      <c r="G206" s="7" t="n">
        <v>500</v>
      </c>
      <c r="H206" s="8" t="n">
        <v>15</v>
      </c>
      <c r="I206" s="9">
        <f>IF(G206="","",G206*H206)</f>
        <v/>
      </c>
      <c r="J206" s="8" t="n">
        <v>0</v>
      </c>
      <c r="K206" s="5">
        <f>IF(G206="","",IF(F206="","","1 "&amp;F206&amp;" = "&amp;TEXT(G206,"#,##0")&amp;" "&amp;E206))</f>
        <v/>
      </c>
      <c r="L206" s="5" t="n"/>
    </row>
    <row r="207">
      <c r="A207" s="5" t="n">
        <v>2206</v>
      </c>
      <c r="B207" s="6" t="inlineStr">
        <is>
          <t>Food Container</t>
        </is>
      </c>
      <c r="C207" s="6" t="inlineStr">
        <is>
          <t>X-Pak</t>
        </is>
      </c>
      <c r="D207" s="6" t="inlineStr">
        <is>
          <t>R-10 Container X-Pak</t>
        </is>
      </c>
      <c r="E207" s="6" t="inlineStr">
        <is>
          <t>PCS</t>
        </is>
      </c>
      <c r="F207" s="6" t="inlineStr">
        <is>
          <t>Carton</t>
        </is>
      </c>
      <c r="G207" s="7" t="n">
        <v>500</v>
      </c>
      <c r="H207" s="8" t="n">
        <v>15</v>
      </c>
      <c r="I207" s="9">
        <f>IF(G207="","",G207*H207)</f>
        <v/>
      </c>
      <c r="J207" s="8" t="n">
        <v>0</v>
      </c>
      <c r="K207" s="5">
        <f>IF(G207="","",IF(F207="","","1 "&amp;F207&amp;" = "&amp;TEXT(G207,"#,##0")&amp;" "&amp;E207))</f>
        <v/>
      </c>
      <c r="L207" s="5" t="n"/>
    </row>
    <row r="208">
      <c r="A208" s="5" t="n">
        <v>2207</v>
      </c>
      <c r="B208" s="6" t="inlineStr">
        <is>
          <t>Food Container</t>
        </is>
      </c>
      <c r="C208" s="6" t="inlineStr">
        <is>
          <t>X-Pak</t>
        </is>
      </c>
      <c r="D208" s="6" t="inlineStr">
        <is>
          <t>R-16 Container X-Pak</t>
        </is>
      </c>
      <c r="E208" s="6" t="inlineStr">
        <is>
          <t>PCS</t>
        </is>
      </c>
      <c r="F208" s="6" t="inlineStr">
        <is>
          <t>Carton</t>
        </is>
      </c>
      <c r="G208" s="7" t="n">
        <v>500</v>
      </c>
      <c r="H208" s="8" t="n">
        <v>16</v>
      </c>
      <c r="I208" s="9">
        <f>IF(G208="","",G208*H208)</f>
        <v/>
      </c>
      <c r="J208" s="8" t="n">
        <v>0</v>
      </c>
      <c r="K208" s="5">
        <f>IF(G208="","",IF(F208="","","1 "&amp;F208&amp;" = "&amp;TEXT(G208,"#,##0")&amp;" "&amp;E208))</f>
        <v/>
      </c>
      <c r="L208" s="5" t="n"/>
    </row>
    <row r="209">
      <c r="A209" s="5" t="n">
        <v>2208</v>
      </c>
      <c r="B209" s="6" t="inlineStr">
        <is>
          <t>Food Container</t>
        </is>
      </c>
      <c r="C209" s="6" t="inlineStr">
        <is>
          <t>X-Pak</t>
        </is>
      </c>
      <c r="D209" s="6" t="inlineStr">
        <is>
          <t>R-10 Black Container X-Pak</t>
        </is>
      </c>
      <c r="E209" s="6" t="inlineStr">
        <is>
          <t>PCS</t>
        </is>
      </c>
      <c r="F209" s="6" t="inlineStr">
        <is>
          <t>Carton</t>
        </is>
      </c>
      <c r="G209" s="7" t="n">
        <v>500</v>
      </c>
      <c r="H209" s="8" t="n">
        <v>16</v>
      </c>
      <c r="I209" s="9">
        <f>IF(G209="","",G209*H209)</f>
        <v/>
      </c>
      <c r="J209" s="8" t="n">
        <v>0</v>
      </c>
      <c r="K209" s="5">
        <f>IF(G209="","",IF(F209="","","1 "&amp;F209&amp;" = "&amp;TEXT(G209,"#,##0")&amp;" "&amp;E209))</f>
        <v/>
      </c>
      <c r="L209" s="5" t="n"/>
    </row>
    <row r="210">
      <c r="A210" s="5" t="n">
        <v>2209</v>
      </c>
      <c r="B210" s="6" t="inlineStr">
        <is>
          <t>Food Container</t>
        </is>
      </c>
      <c r="C210" s="6" t="inlineStr">
        <is>
          <t>X-Pak</t>
        </is>
      </c>
      <c r="D210" s="6" t="inlineStr">
        <is>
          <t>R-16 Black Container X-Pak</t>
        </is>
      </c>
      <c r="E210" s="6" t="inlineStr">
        <is>
          <t>PCS</t>
        </is>
      </c>
      <c r="F210" s="6" t="inlineStr">
        <is>
          <t>Carton</t>
        </is>
      </c>
      <c r="G210" s="7" t="n">
        <v>500</v>
      </c>
      <c r="H210" s="8" t="n">
        <v>17</v>
      </c>
      <c r="I210" s="9">
        <f>IF(G210="","",G210*H210)</f>
        <v/>
      </c>
      <c r="J210" s="8" t="n">
        <v>0</v>
      </c>
      <c r="K210" s="5">
        <f>IF(G210="","",IF(F210="","","1 "&amp;F210&amp;" = "&amp;TEXT(G210,"#,##0")&amp;" "&amp;E210))</f>
        <v/>
      </c>
      <c r="L210" s="5" t="n"/>
    </row>
    <row r="211">
      <c r="A211" s="5" t="n">
        <v>2210</v>
      </c>
      <c r="B211" s="6" t="inlineStr">
        <is>
          <t>Food Container</t>
        </is>
      </c>
      <c r="C211" s="6" t="inlineStr">
        <is>
          <t>X-Pak</t>
        </is>
      </c>
      <c r="D211" s="6" t="inlineStr">
        <is>
          <t>500ml Container X-Pak</t>
        </is>
      </c>
      <c r="E211" s="6" t="inlineStr">
        <is>
          <t>PCS</t>
        </is>
      </c>
      <c r="F211" s="6" t="inlineStr">
        <is>
          <t>Carton</t>
        </is>
      </c>
      <c r="G211" s="7" t="n">
        <v>250</v>
      </c>
      <c r="H211" s="8" t="n">
        <v>19</v>
      </c>
      <c r="I211" s="9">
        <f>IF(G211="","",G211*H211)</f>
        <v/>
      </c>
      <c r="J211" s="8" t="n">
        <v>0</v>
      </c>
      <c r="K211" s="5">
        <f>IF(G211="","",IF(F211="","","1 "&amp;F211&amp;" = "&amp;TEXT(G211,"#,##0")&amp;" "&amp;E211))</f>
        <v/>
      </c>
      <c r="L211" s="5" t="n"/>
    </row>
    <row r="212">
      <c r="A212" s="5" t="n">
        <v>2211</v>
      </c>
      <c r="B212" s="6" t="inlineStr">
        <is>
          <t>Food Container</t>
        </is>
      </c>
      <c r="C212" s="6" t="inlineStr">
        <is>
          <t>X-Pak</t>
        </is>
      </c>
      <c r="D212" s="6" t="inlineStr">
        <is>
          <t>500ml Black Container X-Pak</t>
        </is>
      </c>
      <c r="E212" s="6" t="inlineStr">
        <is>
          <t>PCS</t>
        </is>
      </c>
      <c r="F212" s="6" t="inlineStr">
        <is>
          <t>Carton</t>
        </is>
      </c>
      <c r="G212" s="7" t="n">
        <v>250</v>
      </c>
      <c r="H212" s="8" t="n">
        <v>20</v>
      </c>
      <c r="I212" s="9">
        <f>IF(G212="","",G212*H212)</f>
        <v/>
      </c>
      <c r="J212" s="8" t="n">
        <v>0</v>
      </c>
      <c r="K212" s="5">
        <f>IF(G212="","",IF(F212="","","1 "&amp;F212&amp;" = "&amp;TEXT(G212,"#,##0")&amp;" "&amp;E212))</f>
        <v/>
      </c>
      <c r="L212" s="5" t="n"/>
    </row>
    <row r="213">
      <c r="A213" s="5" t="n">
        <v>2212</v>
      </c>
      <c r="B213" s="6" t="inlineStr">
        <is>
          <t>Food Container</t>
        </is>
      </c>
      <c r="C213" s="6" t="inlineStr">
        <is>
          <t>X-Pak</t>
        </is>
      </c>
      <c r="D213" s="6" t="inlineStr">
        <is>
          <t>750ml Container X-Pak</t>
        </is>
      </c>
      <c r="E213" s="6" t="inlineStr">
        <is>
          <t>PCS</t>
        </is>
      </c>
      <c r="F213" s="6" t="inlineStr">
        <is>
          <t>Carton</t>
        </is>
      </c>
      <c r="G213" s="7" t="n">
        <v>250</v>
      </c>
      <c r="H213" s="8" t="n">
        <v>20</v>
      </c>
      <c r="I213" s="9">
        <f>IF(G213="","",G213*H213)</f>
        <v/>
      </c>
      <c r="J213" s="8" t="n">
        <v>0</v>
      </c>
      <c r="K213" s="5">
        <f>IF(G213="","",IF(F213="","","1 "&amp;F213&amp;" = "&amp;TEXT(G213,"#,##0")&amp;" "&amp;E213))</f>
        <v/>
      </c>
      <c r="L213" s="5" t="n"/>
    </row>
    <row r="214">
      <c r="A214" s="5" t="n">
        <v>2213</v>
      </c>
      <c r="B214" s="6" t="inlineStr">
        <is>
          <t>Food Container</t>
        </is>
      </c>
      <c r="C214" s="6" t="inlineStr">
        <is>
          <t>X-Pak</t>
        </is>
      </c>
      <c r="D214" s="6" t="inlineStr">
        <is>
          <t>750ml Black Container X-Pak</t>
        </is>
      </c>
      <c r="E214" s="6" t="inlineStr">
        <is>
          <t>PCS</t>
        </is>
      </c>
      <c r="F214" s="6" t="inlineStr">
        <is>
          <t>Carton</t>
        </is>
      </c>
      <c r="G214" s="7" t="n">
        <v>250</v>
      </c>
      <c r="H214" s="8" t="n">
        <v>21</v>
      </c>
      <c r="I214" s="9">
        <f>IF(G214="","",G214*H214)</f>
        <v/>
      </c>
      <c r="J214" s="8" t="n">
        <v>0</v>
      </c>
      <c r="K214" s="5">
        <f>IF(G214="","",IF(F214="","","1 "&amp;F214&amp;" = "&amp;TEXT(G214,"#,##0")&amp;" "&amp;E214))</f>
        <v/>
      </c>
      <c r="L214" s="5" t="n"/>
    </row>
    <row r="215">
      <c r="A215" s="5" t="n">
        <v>2214</v>
      </c>
      <c r="B215" s="6" t="inlineStr">
        <is>
          <t>Food Container</t>
        </is>
      </c>
      <c r="C215" s="6" t="inlineStr">
        <is>
          <t>X-Pak</t>
        </is>
      </c>
      <c r="D215" s="6" t="inlineStr">
        <is>
          <t>1000ml Container X-Pak</t>
        </is>
      </c>
      <c r="E215" s="6" t="inlineStr">
        <is>
          <t>PCS</t>
        </is>
      </c>
      <c r="F215" s="6" t="inlineStr">
        <is>
          <t>Carton</t>
        </is>
      </c>
      <c r="G215" s="7" t="n">
        <v>250</v>
      </c>
      <c r="H215" s="8" t="n">
        <v>21</v>
      </c>
      <c r="I215" s="9">
        <f>IF(G215="","",G215*H215)</f>
        <v/>
      </c>
      <c r="J215" s="8" t="n">
        <v>0</v>
      </c>
      <c r="K215" s="5">
        <f>IF(G215="","",IF(F215="","","1 "&amp;F215&amp;" = "&amp;TEXT(G215,"#,##0")&amp;" "&amp;E215))</f>
        <v/>
      </c>
      <c r="L215" s="5" t="n"/>
    </row>
    <row r="216">
      <c r="A216" s="5" t="n">
        <v>2215</v>
      </c>
      <c r="B216" s="6" t="inlineStr">
        <is>
          <t>Food Container</t>
        </is>
      </c>
      <c r="C216" s="6" t="inlineStr">
        <is>
          <t>X-Pak</t>
        </is>
      </c>
      <c r="D216" s="6" t="inlineStr">
        <is>
          <t>1000ml Black Container X-Pak</t>
        </is>
      </c>
      <c r="E216" s="6" t="inlineStr">
        <is>
          <t>PCS</t>
        </is>
      </c>
      <c r="F216" s="6" t="inlineStr">
        <is>
          <t>Carton</t>
        </is>
      </c>
      <c r="G216" s="7" t="n">
        <v>250</v>
      </c>
      <c r="H216" s="8" t="n">
        <v>22</v>
      </c>
      <c r="I216" s="9">
        <f>IF(G216="","",G216*H216)</f>
        <v/>
      </c>
      <c r="J216" s="8" t="n">
        <v>0</v>
      </c>
      <c r="K216" s="5">
        <f>IF(G216="","",IF(F216="","","1 "&amp;F216&amp;" = "&amp;TEXT(G216,"#,##0")&amp;" "&amp;E216))</f>
        <v/>
      </c>
      <c r="L216" s="5" t="n"/>
    </row>
    <row r="217">
      <c r="A217" s="5" t="n">
        <v>2216</v>
      </c>
      <c r="B217" s="6" t="inlineStr">
        <is>
          <t>Food Container</t>
        </is>
      </c>
      <c r="C217" s="6" t="inlineStr">
        <is>
          <t>X-Pak</t>
        </is>
      </c>
      <c r="D217" s="6" t="inlineStr">
        <is>
          <t>1500ml Container X-Pak</t>
        </is>
      </c>
      <c r="E217" s="6" t="inlineStr">
        <is>
          <t>PCS</t>
        </is>
      </c>
      <c r="F217" s="6" t="inlineStr">
        <is>
          <t>Carton</t>
        </is>
      </c>
      <c r="G217" s="7" t="n">
        <v>150</v>
      </c>
      <c r="H217" s="8" t="n">
        <v>30</v>
      </c>
      <c r="I217" s="9">
        <f>IF(G217="","",G217*H217)</f>
        <v/>
      </c>
      <c r="J217" s="8" t="n">
        <v>0</v>
      </c>
      <c r="K217" s="5">
        <f>IF(G217="","",IF(F217="","","1 "&amp;F217&amp;" = "&amp;TEXT(G217,"#,##0")&amp;" "&amp;E217))</f>
        <v/>
      </c>
      <c r="L217" s="5" t="n"/>
    </row>
    <row r="218">
      <c r="A218" s="5" t="n">
        <v>2217</v>
      </c>
      <c r="B218" s="6" t="inlineStr">
        <is>
          <t>Food Container</t>
        </is>
      </c>
      <c r="C218" s="6" t="inlineStr">
        <is>
          <t>X-Pak</t>
        </is>
      </c>
      <c r="D218" s="6" t="inlineStr">
        <is>
          <t>1500ml Black Container X-Pak</t>
        </is>
      </c>
      <c r="E218" s="6" t="inlineStr">
        <is>
          <t>PCS</t>
        </is>
      </c>
      <c r="F218" s="6" t="inlineStr">
        <is>
          <t>Carton</t>
        </is>
      </c>
      <c r="G218" s="7" t="n">
        <v>150</v>
      </c>
      <c r="H218" s="8" t="n">
        <v>31</v>
      </c>
      <c r="I218" s="9">
        <f>IF(G218="","",G218*H218)</f>
        <v/>
      </c>
      <c r="J218" s="8" t="n">
        <v>0</v>
      </c>
      <c r="K218" s="5">
        <f>IF(G218="","",IF(F218="","","1 "&amp;F218&amp;" = "&amp;TEXT(G218,"#,##0")&amp;" "&amp;E218))</f>
        <v/>
      </c>
      <c r="L218" s="5" t="n"/>
    </row>
    <row r="219">
      <c r="A219" s="5" t="n">
        <v>2218</v>
      </c>
      <c r="B219" s="6" t="inlineStr">
        <is>
          <t>Food Container</t>
        </is>
      </c>
      <c r="C219" s="6" t="inlineStr">
        <is>
          <t>X-Pak</t>
        </is>
      </c>
      <c r="D219" s="6" t="inlineStr">
        <is>
          <t>2000ml Container X-Pak</t>
        </is>
      </c>
      <c r="E219" s="6" t="inlineStr">
        <is>
          <t>PCS</t>
        </is>
      </c>
      <c r="F219" s="6" t="inlineStr">
        <is>
          <t>Carton</t>
        </is>
      </c>
      <c r="G219" s="7" t="n">
        <v>150</v>
      </c>
      <c r="H219" s="8" t="n">
        <v>45</v>
      </c>
      <c r="I219" s="9">
        <f>IF(G219="","",G219*H219)</f>
        <v/>
      </c>
      <c r="J219" s="8" t="n">
        <v>0</v>
      </c>
      <c r="K219" s="5">
        <f>IF(G219="","",IF(F219="","","1 "&amp;F219&amp;" = "&amp;TEXT(G219,"#,##0")&amp;" "&amp;E219))</f>
        <v/>
      </c>
      <c r="L219" s="5" t="n"/>
    </row>
    <row r="220">
      <c r="A220" s="5" t="n">
        <v>2219</v>
      </c>
      <c r="B220" s="6" t="inlineStr">
        <is>
          <t>Food Container</t>
        </is>
      </c>
      <c r="C220" s="6" t="inlineStr">
        <is>
          <t>X-Pak</t>
        </is>
      </c>
      <c r="D220" s="6" t="inlineStr">
        <is>
          <t>2000ml Black Container X-Pak</t>
        </is>
      </c>
      <c r="E220" s="6" t="inlineStr">
        <is>
          <t>PCS</t>
        </is>
      </c>
      <c r="F220" s="6" t="inlineStr">
        <is>
          <t>Carton</t>
        </is>
      </c>
      <c r="G220" s="7" t="n">
        <v>150</v>
      </c>
      <c r="H220" s="8" t="n">
        <v>46</v>
      </c>
      <c r="I220" s="9">
        <f>IF(G220="","",G220*H220)</f>
        <v/>
      </c>
      <c r="J220" s="8" t="n">
        <v>0</v>
      </c>
      <c r="K220" s="5">
        <f>IF(G220="","",IF(F220="","","1 "&amp;F220&amp;" = "&amp;TEXT(G220,"#,##0")&amp;" "&amp;E220))</f>
        <v/>
      </c>
      <c r="L220" s="5" t="n"/>
    </row>
    <row r="221">
      <c r="A221" s="5" t="n">
        <v>2220</v>
      </c>
      <c r="B221" s="6" t="inlineStr">
        <is>
          <t>Food Container</t>
        </is>
      </c>
      <c r="C221" s="6" t="inlineStr">
        <is>
          <t>X-Pak</t>
        </is>
      </c>
      <c r="D221" s="6" t="inlineStr">
        <is>
          <t>3000ml Container X-Pak</t>
        </is>
      </c>
      <c r="E221" s="6" t="inlineStr">
        <is>
          <t>PCS</t>
        </is>
      </c>
      <c r="F221" s="6" t="inlineStr">
        <is>
          <t>Carton</t>
        </is>
      </c>
      <c r="G221" s="7" t="n">
        <v>150</v>
      </c>
      <c r="H221" s="8" t="n">
        <v>55</v>
      </c>
      <c r="I221" s="9">
        <f>IF(G221="","",G221*H221)</f>
        <v/>
      </c>
      <c r="J221" s="8" t="n">
        <v>0</v>
      </c>
      <c r="K221" s="5">
        <f>IF(G221="","",IF(F221="","","1 "&amp;F221&amp;" = "&amp;TEXT(G221,"#,##0")&amp;" "&amp;E221))</f>
        <v/>
      </c>
      <c r="L221" s="5" t="n"/>
    </row>
    <row r="222">
      <c r="A222" s="5" t="n">
        <v>2221</v>
      </c>
      <c r="B222" s="6" t="inlineStr">
        <is>
          <t>Food Container</t>
        </is>
      </c>
      <c r="C222" s="6" t="inlineStr">
        <is>
          <t>X-Pak</t>
        </is>
      </c>
      <c r="D222" s="6" t="inlineStr">
        <is>
          <t>3000ml Black Container X-Pak</t>
        </is>
      </c>
      <c r="E222" s="6" t="inlineStr">
        <is>
          <t>PCS</t>
        </is>
      </c>
      <c r="F222" s="6" t="inlineStr">
        <is>
          <t>Carton</t>
        </is>
      </c>
      <c r="G222" s="7" t="n">
        <v>150</v>
      </c>
      <c r="H222" s="8" t="n">
        <v>56</v>
      </c>
      <c r="I222" s="9">
        <f>IF(G222="","",G222*H222)</f>
        <v/>
      </c>
      <c r="J222" s="8" t="n">
        <v>0</v>
      </c>
      <c r="K222" s="5">
        <f>IF(G222="","",IF(F222="","","1 "&amp;F222&amp;" = "&amp;TEXT(G222,"#,##0")&amp;" "&amp;E222))</f>
        <v/>
      </c>
      <c r="L222" s="5" t="n"/>
    </row>
    <row r="223">
      <c r="A223" s="5" t="n">
        <v>2222</v>
      </c>
      <c r="B223" s="6" t="inlineStr">
        <is>
          <t>Food Container</t>
        </is>
      </c>
      <c r="C223" s="6" t="inlineStr">
        <is>
          <t>AP</t>
        </is>
      </c>
      <c r="D223" s="6" t="inlineStr">
        <is>
          <t>R-10 Container AP</t>
        </is>
      </c>
      <c r="E223" s="6" t="inlineStr">
        <is>
          <t>PCS</t>
        </is>
      </c>
      <c r="F223" s="6" t="inlineStr">
        <is>
          <t>Carton</t>
        </is>
      </c>
      <c r="G223" s="7" t="n">
        <v>500</v>
      </c>
      <c r="H223" s="8" t="n">
        <v>15</v>
      </c>
      <c r="I223" s="9">
        <f>IF(G223="","",G223*H223)</f>
        <v/>
      </c>
      <c r="J223" s="8" t="n">
        <v>0</v>
      </c>
      <c r="K223" s="5">
        <f>IF(G223="","",IF(F223="","","1 "&amp;F223&amp;" = "&amp;TEXT(G223,"#,##0")&amp;" "&amp;E223))</f>
        <v/>
      </c>
      <c r="L223" s="5" t="n"/>
    </row>
    <row r="224">
      <c r="A224" s="5" t="n">
        <v>2223</v>
      </c>
      <c r="B224" s="6" t="inlineStr">
        <is>
          <t>Food Container</t>
        </is>
      </c>
      <c r="C224" s="6" t="inlineStr">
        <is>
          <t>AP</t>
        </is>
      </c>
      <c r="D224" s="6" t="inlineStr">
        <is>
          <t>R-16 Container AP</t>
        </is>
      </c>
      <c r="E224" s="6" t="inlineStr">
        <is>
          <t>PCS</t>
        </is>
      </c>
      <c r="F224" s="6" t="inlineStr">
        <is>
          <t>Carton</t>
        </is>
      </c>
      <c r="G224" s="7" t="n">
        <v>500</v>
      </c>
      <c r="H224" s="8" t="n">
        <v>16</v>
      </c>
      <c r="I224" s="9">
        <f>IF(G224="","",G224*H224)</f>
        <v/>
      </c>
      <c r="J224" s="8" t="n">
        <v>0</v>
      </c>
      <c r="K224" s="5">
        <f>IF(G224="","",IF(F224="","","1 "&amp;F224&amp;" = "&amp;TEXT(G224,"#,##0")&amp;" "&amp;E224))</f>
        <v/>
      </c>
      <c r="L224" s="5" t="n"/>
    </row>
    <row r="225">
      <c r="A225" s="5" t="n">
        <v>2224</v>
      </c>
      <c r="B225" s="6" t="inlineStr">
        <is>
          <t>Food Container</t>
        </is>
      </c>
      <c r="C225" s="6" t="inlineStr">
        <is>
          <t>AP</t>
        </is>
      </c>
      <c r="D225" s="6" t="inlineStr">
        <is>
          <t>R-10 Black Container AP</t>
        </is>
      </c>
      <c r="E225" s="6" t="inlineStr">
        <is>
          <t>PCS</t>
        </is>
      </c>
      <c r="F225" s="6" t="inlineStr">
        <is>
          <t>Carton</t>
        </is>
      </c>
      <c r="G225" s="7" t="n">
        <v>500</v>
      </c>
      <c r="H225" s="8" t="n">
        <v>16</v>
      </c>
      <c r="I225" s="9">
        <f>IF(G225="","",G225*H225)</f>
        <v/>
      </c>
      <c r="J225" s="8" t="n">
        <v>0</v>
      </c>
      <c r="K225" s="5">
        <f>IF(G225="","",IF(F225="","","1 "&amp;F225&amp;" = "&amp;TEXT(G225,"#,##0")&amp;" "&amp;E225))</f>
        <v/>
      </c>
      <c r="L225" s="5" t="n"/>
    </row>
    <row r="226">
      <c r="A226" s="5" t="n">
        <v>2225</v>
      </c>
      <c r="B226" s="6" t="inlineStr">
        <is>
          <t>Food Container</t>
        </is>
      </c>
      <c r="C226" s="6" t="inlineStr">
        <is>
          <t>AP</t>
        </is>
      </c>
      <c r="D226" s="6" t="inlineStr">
        <is>
          <t>R-16 Black Container AP</t>
        </is>
      </c>
      <c r="E226" s="6" t="inlineStr">
        <is>
          <t>PCS</t>
        </is>
      </c>
      <c r="F226" s="6" t="inlineStr">
        <is>
          <t>Carton</t>
        </is>
      </c>
      <c r="G226" s="7" t="n">
        <v>500</v>
      </c>
      <c r="H226" s="8" t="n">
        <v>17</v>
      </c>
      <c r="I226" s="9">
        <f>IF(G226="","",G226*H226)</f>
        <v/>
      </c>
      <c r="J226" s="8" t="n">
        <v>0</v>
      </c>
      <c r="K226" s="5">
        <f>IF(G226="","",IF(F226="","","1 "&amp;F226&amp;" = "&amp;TEXT(G226,"#,##0")&amp;" "&amp;E226))</f>
        <v/>
      </c>
      <c r="L226" s="5" t="n"/>
    </row>
    <row r="227">
      <c r="A227" s="5" t="n">
        <v>2226</v>
      </c>
      <c r="B227" s="6" t="inlineStr">
        <is>
          <t>Food Container</t>
        </is>
      </c>
      <c r="C227" s="6" t="inlineStr">
        <is>
          <t>AP</t>
        </is>
      </c>
      <c r="D227" s="6" t="inlineStr">
        <is>
          <t>500ml Container AP</t>
        </is>
      </c>
      <c r="E227" s="6" t="inlineStr">
        <is>
          <t>PCS</t>
        </is>
      </c>
      <c r="F227" s="6" t="inlineStr">
        <is>
          <t>Carton</t>
        </is>
      </c>
      <c r="G227" s="7" t="n">
        <v>250</v>
      </c>
      <c r="H227" s="8" t="n">
        <v>19</v>
      </c>
      <c r="I227" s="9">
        <f>IF(G227="","",G227*H227)</f>
        <v/>
      </c>
      <c r="J227" s="8" t="n">
        <v>0</v>
      </c>
      <c r="K227" s="5">
        <f>IF(G227="","",IF(F227="","","1 "&amp;F227&amp;" = "&amp;TEXT(G227,"#,##0")&amp;" "&amp;E227))</f>
        <v/>
      </c>
      <c r="L227" s="5" t="n"/>
    </row>
    <row r="228">
      <c r="A228" s="5" t="n">
        <v>2227</v>
      </c>
      <c r="B228" s="6" t="inlineStr">
        <is>
          <t>Food Container</t>
        </is>
      </c>
      <c r="C228" s="6" t="inlineStr">
        <is>
          <t>AP</t>
        </is>
      </c>
      <c r="D228" s="6" t="inlineStr">
        <is>
          <t>500ml Black Container AP</t>
        </is>
      </c>
      <c r="E228" s="6" t="inlineStr">
        <is>
          <t>PCS</t>
        </is>
      </c>
      <c r="F228" s="6" t="inlineStr">
        <is>
          <t>Carton</t>
        </is>
      </c>
      <c r="G228" s="7" t="n">
        <v>250</v>
      </c>
      <c r="H228" s="8" t="n">
        <v>20</v>
      </c>
      <c r="I228" s="9">
        <f>IF(G228="","",G228*H228)</f>
        <v/>
      </c>
      <c r="J228" s="8" t="n">
        <v>0</v>
      </c>
      <c r="K228" s="5">
        <f>IF(G228="","",IF(F228="","","1 "&amp;F228&amp;" = "&amp;TEXT(G228,"#,##0")&amp;" "&amp;E228))</f>
        <v/>
      </c>
      <c r="L228" s="5" t="n"/>
    </row>
    <row r="229">
      <c r="A229" s="5" t="n">
        <v>2228</v>
      </c>
      <c r="B229" s="6" t="inlineStr">
        <is>
          <t>Food Container</t>
        </is>
      </c>
      <c r="C229" s="6" t="inlineStr">
        <is>
          <t>AP</t>
        </is>
      </c>
      <c r="D229" s="6" t="inlineStr">
        <is>
          <t>750ml Container AP</t>
        </is>
      </c>
      <c r="E229" s="6" t="inlineStr">
        <is>
          <t>PCS</t>
        </is>
      </c>
      <c r="F229" s="6" t="inlineStr">
        <is>
          <t>Carton</t>
        </is>
      </c>
      <c r="G229" s="7" t="n">
        <v>250</v>
      </c>
      <c r="H229" s="8" t="n">
        <v>20</v>
      </c>
      <c r="I229" s="9">
        <f>IF(G229="","",G229*H229)</f>
        <v/>
      </c>
      <c r="J229" s="8" t="n">
        <v>0</v>
      </c>
      <c r="K229" s="5">
        <f>IF(G229="","",IF(F229="","","1 "&amp;F229&amp;" = "&amp;TEXT(G229,"#,##0")&amp;" "&amp;E229))</f>
        <v/>
      </c>
      <c r="L229" s="5" t="n"/>
    </row>
    <row r="230">
      <c r="A230" s="5" t="n">
        <v>2229</v>
      </c>
      <c r="B230" s="6" t="inlineStr">
        <is>
          <t>Food Container</t>
        </is>
      </c>
      <c r="C230" s="6" t="inlineStr">
        <is>
          <t>AP</t>
        </is>
      </c>
      <c r="D230" s="6" t="inlineStr">
        <is>
          <t>750ml Black Container AP</t>
        </is>
      </c>
      <c r="E230" s="6" t="inlineStr">
        <is>
          <t>PCS</t>
        </is>
      </c>
      <c r="F230" s="6" t="inlineStr">
        <is>
          <t>Carton</t>
        </is>
      </c>
      <c r="G230" s="7" t="n">
        <v>250</v>
      </c>
      <c r="H230" s="8" t="n">
        <v>21</v>
      </c>
      <c r="I230" s="9">
        <f>IF(G230="","",G230*H230)</f>
        <v/>
      </c>
      <c r="J230" s="8" t="n">
        <v>0</v>
      </c>
      <c r="K230" s="5">
        <f>IF(G230="","",IF(F230="","","1 "&amp;F230&amp;" = "&amp;TEXT(G230,"#,##0")&amp;" "&amp;E230))</f>
        <v/>
      </c>
      <c r="L230" s="5" t="n"/>
    </row>
    <row r="231">
      <c r="A231" s="5" t="n">
        <v>2230</v>
      </c>
      <c r="B231" s="6" t="inlineStr">
        <is>
          <t>Food Container</t>
        </is>
      </c>
      <c r="C231" s="6" t="inlineStr">
        <is>
          <t>AP</t>
        </is>
      </c>
      <c r="D231" s="6" t="inlineStr">
        <is>
          <t>1000ml Container AP</t>
        </is>
      </c>
      <c r="E231" s="6" t="inlineStr">
        <is>
          <t>PCS</t>
        </is>
      </c>
      <c r="F231" s="6" t="inlineStr">
        <is>
          <t>Carton</t>
        </is>
      </c>
      <c r="G231" s="7" t="n">
        <v>250</v>
      </c>
      <c r="H231" s="8" t="n">
        <v>21</v>
      </c>
      <c r="I231" s="9">
        <f>IF(G231="","",G231*H231)</f>
        <v/>
      </c>
      <c r="J231" s="8" t="n">
        <v>0</v>
      </c>
      <c r="K231" s="5">
        <f>IF(G231="","",IF(F231="","","1 "&amp;F231&amp;" = "&amp;TEXT(G231,"#,##0")&amp;" "&amp;E231))</f>
        <v/>
      </c>
      <c r="L231" s="5" t="n"/>
    </row>
    <row r="232">
      <c r="A232" s="5" t="n">
        <v>2231</v>
      </c>
      <c r="B232" s="6" t="inlineStr">
        <is>
          <t>Food Container</t>
        </is>
      </c>
      <c r="C232" s="6" t="inlineStr">
        <is>
          <t>AP</t>
        </is>
      </c>
      <c r="D232" s="6" t="inlineStr">
        <is>
          <t>1000ml Black Container AP</t>
        </is>
      </c>
      <c r="E232" s="6" t="inlineStr">
        <is>
          <t>PCS</t>
        </is>
      </c>
      <c r="F232" s="6" t="inlineStr">
        <is>
          <t>Carton</t>
        </is>
      </c>
      <c r="G232" s="7" t="n">
        <v>250</v>
      </c>
      <c r="H232" s="8" t="n">
        <v>22</v>
      </c>
      <c r="I232" s="9">
        <f>IF(G232="","",G232*H232)</f>
        <v/>
      </c>
      <c r="J232" s="8" t="n">
        <v>0</v>
      </c>
      <c r="K232" s="5">
        <f>IF(G232="","",IF(F232="","","1 "&amp;F232&amp;" = "&amp;TEXT(G232,"#,##0")&amp;" "&amp;E232))</f>
        <v/>
      </c>
      <c r="L232" s="5" t="n"/>
    </row>
    <row r="233">
      <c r="A233" s="5" t="n">
        <v>2232</v>
      </c>
      <c r="B233" s="6" t="inlineStr">
        <is>
          <t>Food Container</t>
        </is>
      </c>
      <c r="C233" s="6" t="inlineStr">
        <is>
          <t>AP</t>
        </is>
      </c>
      <c r="D233" s="6" t="inlineStr">
        <is>
          <t>1500ml Container AP</t>
        </is>
      </c>
      <c r="E233" s="6" t="inlineStr">
        <is>
          <t>PCS</t>
        </is>
      </c>
      <c r="F233" s="6" t="inlineStr">
        <is>
          <t>Carton</t>
        </is>
      </c>
      <c r="G233" s="7" t="n">
        <v>150</v>
      </c>
      <c r="H233" s="8" t="n">
        <v>30</v>
      </c>
      <c r="I233" s="9">
        <f>IF(G233="","",G233*H233)</f>
        <v/>
      </c>
      <c r="J233" s="8" t="n">
        <v>0</v>
      </c>
      <c r="K233" s="5">
        <f>IF(G233="","",IF(F233="","","1 "&amp;F233&amp;" = "&amp;TEXT(G233,"#,##0")&amp;" "&amp;E233))</f>
        <v/>
      </c>
      <c r="L233" s="5" t="n"/>
    </row>
    <row r="234">
      <c r="A234" s="5" t="n">
        <v>2233</v>
      </c>
      <c r="B234" s="6" t="inlineStr">
        <is>
          <t>Food Container</t>
        </is>
      </c>
      <c r="C234" s="6" t="inlineStr">
        <is>
          <t>AP</t>
        </is>
      </c>
      <c r="D234" s="6" t="inlineStr">
        <is>
          <t>1500ml Black Container AP</t>
        </is>
      </c>
      <c r="E234" s="6" t="inlineStr">
        <is>
          <t>PCS</t>
        </is>
      </c>
      <c r="F234" s="6" t="inlineStr">
        <is>
          <t>Carton</t>
        </is>
      </c>
      <c r="G234" s="7" t="n">
        <v>150</v>
      </c>
      <c r="H234" s="8" t="n">
        <v>31</v>
      </c>
      <c r="I234" s="9">
        <f>IF(G234="","",G234*H234)</f>
        <v/>
      </c>
      <c r="J234" s="8" t="n">
        <v>0</v>
      </c>
      <c r="K234" s="5">
        <f>IF(G234="","",IF(F234="","","1 "&amp;F234&amp;" = "&amp;TEXT(G234,"#,##0")&amp;" "&amp;E234))</f>
        <v/>
      </c>
      <c r="L234" s="5" t="n"/>
    </row>
    <row r="235">
      <c r="A235" s="5" t="n">
        <v>2234</v>
      </c>
      <c r="B235" s="6" t="inlineStr">
        <is>
          <t>Food Container</t>
        </is>
      </c>
      <c r="C235" s="6" t="inlineStr">
        <is>
          <t>AP</t>
        </is>
      </c>
      <c r="D235" s="6" t="inlineStr">
        <is>
          <t>2000ml Container AP</t>
        </is>
      </c>
      <c r="E235" s="6" t="inlineStr">
        <is>
          <t>PCS</t>
        </is>
      </c>
      <c r="F235" s="6" t="inlineStr">
        <is>
          <t>Carton</t>
        </is>
      </c>
      <c r="G235" s="7" t="n">
        <v>150</v>
      </c>
      <c r="H235" s="8" t="n">
        <v>45</v>
      </c>
      <c r="I235" s="9">
        <f>IF(G235="","",G235*H235)</f>
        <v/>
      </c>
      <c r="J235" s="8" t="n">
        <v>0</v>
      </c>
      <c r="K235" s="5">
        <f>IF(G235="","",IF(F235="","","1 "&amp;F235&amp;" = "&amp;TEXT(G235,"#,##0")&amp;" "&amp;E235))</f>
        <v/>
      </c>
      <c r="L235" s="5" t="n"/>
    </row>
    <row r="236">
      <c r="A236" s="5" t="n">
        <v>2235</v>
      </c>
      <c r="B236" s="6" t="inlineStr">
        <is>
          <t>Food Container</t>
        </is>
      </c>
      <c r="C236" s="6" t="inlineStr">
        <is>
          <t>AP</t>
        </is>
      </c>
      <c r="D236" s="6" t="inlineStr">
        <is>
          <t>2000ml Black Container AP</t>
        </is>
      </c>
      <c r="E236" s="6" t="inlineStr">
        <is>
          <t>PCS</t>
        </is>
      </c>
      <c r="F236" s="6" t="inlineStr">
        <is>
          <t>Carton</t>
        </is>
      </c>
      <c r="G236" s="7" t="n">
        <v>150</v>
      </c>
      <c r="H236" s="8" t="n">
        <v>46</v>
      </c>
      <c r="I236" s="9">
        <f>IF(G236="","",G236*H236)</f>
        <v/>
      </c>
      <c r="J236" s="8" t="n">
        <v>0</v>
      </c>
      <c r="K236" s="5">
        <f>IF(G236="","",IF(F236="","","1 "&amp;F236&amp;" = "&amp;TEXT(G236,"#,##0")&amp;" "&amp;E236))</f>
        <v/>
      </c>
      <c r="L236" s="5" t="n"/>
    </row>
    <row r="237">
      <c r="A237" s="5" t="n">
        <v>2236</v>
      </c>
      <c r="B237" s="6" t="inlineStr">
        <is>
          <t>Food Container</t>
        </is>
      </c>
      <c r="C237" s="6" t="inlineStr">
        <is>
          <t>AP</t>
        </is>
      </c>
      <c r="D237" s="6" t="inlineStr">
        <is>
          <t>3000ml Container AP</t>
        </is>
      </c>
      <c r="E237" s="6" t="inlineStr">
        <is>
          <t>PCS</t>
        </is>
      </c>
      <c r="F237" s="6" t="inlineStr">
        <is>
          <t>Carton</t>
        </is>
      </c>
      <c r="G237" s="7" t="n">
        <v>150</v>
      </c>
      <c r="H237" s="8" t="n">
        <v>55</v>
      </c>
      <c r="I237" s="9">
        <f>IF(G237="","",G237*H237)</f>
        <v/>
      </c>
      <c r="J237" s="8" t="n">
        <v>0</v>
      </c>
      <c r="K237" s="5">
        <f>IF(G237="","",IF(F237="","","1 "&amp;F237&amp;" = "&amp;TEXT(G237,"#,##0")&amp;" "&amp;E237))</f>
        <v/>
      </c>
      <c r="L237" s="5" t="n"/>
    </row>
    <row r="238">
      <c r="A238" s="5" t="n">
        <v>2237</v>
      </c>
      <c r="B238" s="6" t="inlineStr">
        <is>
          <t>Food Container</t>
        </is>
      </c>
      <c r="C238" s="6" t="inlineStr">
        <is>
          <t>AP</t>
        </is>
      </c>
      <c r="D238" s="6" t="inlineStr">
        <is>
          <t>3000ml Black Container AP</t>
        </is>
      </c>
      <c r="E238" s="6" t="inlineStr">
        <is>
          <t>PCS</t>
        </is>
      </c>
      <c r="F238" s="6" t="inlineStr">
        <is>
          <t>Carton</t>
        </is>
      </c>
      <c r="G238" s="7" t="n">
        <v>150</v>
      </c>
      <c r="H238" s="8" t="n">
        <v>56</v>
      </c>
      <c r="I238" s="9">
        <f>IF(G238="","",G238*H238)</f>
        <v/>
      </c>
      <c r="J238" s="8" t="n">
        <v>0</v>
      </c>
      <c r="K238" s="5">
        <f>IF(G238="","",IF(F238="","","1 "&amp;F238&amp;" = "&amp;TEXT(G238,"#,##0")&amp;" "&amp;E238))</f>
        <v/>
      </c>
      <c r="L238" s="5" t="n"/>
    </row>
    <row r="239">
      <c r="A239" s="5" t="n">
        <v>2238</v>
      </c>
      <c r="B239" s="6" t="inlineStr">
        <is>
          <t>Food Container</t>
        </is>
      </c>
      <c r="C239" s="6" t="inlineStr">
        <is>
          <t>TS</t>
        </is>
      </c>
      <c r="D239" s="6" t="inlineStr">
        <is>
          <t>R-14 Container TS</t>
        </is>
      </c>
      <c r="E239" s="6" t="inlineStr">
        <is>
          <t>PCS</t>
        </is>
      </c>
      <c r="F239" s="6" t="inlineStr">
        <is>
          <t>Carton</t>
        </is>
      </c>
      <c r="G239" s="7" t="n">
        <v>500</v>
      </c>
      <c r="H239" s="8" t="n">
        <v>14</v>
      </c>
      <c r="I239" s="9">
        <f>IF(G239="","",G239*H239)</f>
        <v/>
      </c>
      <c r="J239" s="8" t="n">
        <v>0</v>
      </c>
      <c r="K239" s="5">
        <f>IF(G239="","",IF(F239="","","1 "&amp;F239&amp;" = "&amp;TEXT(G239,"#,##0")&amp;" "&amp;E239))</f>
        <v/>
      </c>
      <c r="L239" s="5" t="n"/>
    </row>
    <row r="240">
      <c r="A240" s="5" t="n">
        <v>2239</v>
      </c>
      <c r="B240" s="6" t="inlineStr">
        <is>
          <t>Food Container</t>
        </is>
      </c>
      <c r="C240" s="6" t="inlineStr">
        <is>
          <t>TS</t>
        </is>
      </c>
      <c r="D240" s="6" t="inlineStr">
        <is>
          <t>R-10 Container TS</t>
        </is>
      </c>
      <c r="E240" s="6" t="inlineStr">
        <is>
          <t>PCS</t>
        </is>
      </c>
      <c r="F240" s="6" t="inlineStr">
        <is>
          <t>Carton</t>
        </is>
      </c>
      <c r="G240" s="7" t="n">
        <v>500</v>
      </c>
      <c r="H240" s="8" t="n">
        <v>15</v>
      </c>
      <c r="I240" s="9">
        <f>IF(G240="","",G240*H240)</f>
        <v/>
      </c>
      <c r="J240" s="8" t="n">
        <v>0</v>
      </c>
      <c r="K240" s="5">
        <f>IF(G240="","",IF(F240="","","1 "&amp;F240&amp;" = "&amp;TEXT(G240,"#,##0")&amp;" "&amp;E240))</f>
        <v/>
      </c>
      <c r="L240" s="5" t="n"/>
    </row>
    <row r="241">
      <c r="A241" s="5" t="n">
        <v>2240</v>
      </c>
      <c r="B241" s="6" t="inlineStr">
        <is>
          <t>Food Container</t>
        </is>
      </c>
      <c r="C241" s="6" t="inlineStr">
        <is>
          <t>TS</t>
        </is>
      </c>
      <c r="D241" s="6" t="inlineStr">
        <is>
          <t>R-16 Container TS</t>
        </is>
      </c>
      <c r="E241" s="6" t="inlineStr">
        <is>
          <t>PCS</t>
        </is>
      </c>
      <c r="F241" s="6" t="inlineStr">
        <is>
          <t>Carton</t>
        </is>
      </c>
      <c r="G241" s="7" t="n">
        <v>500</v>
      </c>
      <c r="H241" s="8" t="n">
        <v>16</v>
      </c>
      <c r="I241" s="9">
        <f>IF(G241="","",G241*H241)</f>
        <v/>
      </c>
      <c r="J241" s="8" t="n">
        <v>0</v>
      </c>
      <c r="K241" s="5">
        <f>IF(G241="","",IF(F241="","","1 "&amp;F241&amp;" = "&amp;TEXT(G241,"#,##0")&amp;" "&amp;E241))</f>
        <v/>
      </c>
      <c r="L241" s="5" t="n"/>
    </row>
    <row r="242">
      <c r="A242" s="5" t="n">
        <v>2241</v>
      </c>
      <c r="B242" s="6" t="inlineStr">
        <is>
          <t>Food Container</t>
        </is>
      </c>
      <c r="C242" s="6" t="inlineStr">
        <is>
          <t>TS</t>
        </is>
      </c>
      <c r="D242" s="6" t="inlineStr">
        <is>
          <t>500ml Container TS</t>
        </is>
      </c>
      <c r="E242" s="6" t="inlineStr">
        <is>
          <t>PCS</t>
        </is>
      </c>
      <c r="F242" s="6" t="inlineStr">
        <is>
          <t>Carton</t>
        </is>
      </c>
      <c r="G242" s="7" t="n">
        <v>250</v>
      </c>
      <c r="H242" s="8" t="n">
        <v>19</v>
      </c>
      <c r="I242" s="9">
        <f>IF(G242="","",G242*H242)</f>
        <v/>
      </c>
      <c r="J242" s="8" t="n">
        <v>0</v>
      </c>
      <c r="K242" s="5">
        <f>IF(G242="","",IF(F242="","","1 "&amp;F242&amp;" = "&amp;TEXT(G242,"#,##0")&amp;" "&amp;E242))</f>
        <v/>
      </c>
      <c r="L242" s="5" t="n"/>
    </row>
    <row r="243">
      <c r="A243" s="5" t="n">
        <v>2242</v>
      </c>
      <c r="B243" s="6" t="inlineStr">
        <is>
          <t>Food Container</t>
        </is>
      </c>
      <c r="C243" s="6" t="inlineStr">
        <is>
          <t>TS</t>
        </is>
      </c>
      <c r="D243" s="6" t="inlineStr">
        <is>
          <t>750ml Container TS</t>
        </is>
      </c>
      <c r="E243" s="6" t="inlineStr">
        <is>
          <t>PCS</t>
        </is>
      </c>
      <c r="F243" s="6" t="inlineStr">
        <is>
          <t>Carton</t>
        </is>
      </c>
      <c r="G243" s="7" t="n">
        <v>250</v>
      </c>
      <c r="H243" s="8" t="n">
        <v>20</v>
      </c>
      <c r="I243" s="9">
        <f>IF(G243="","",G243*H243)</f>
        <v/>
      </c>
      <c r="J243" s="8" t="n">
        <v>0</v>
      </c>
      <c r="K243" s="5">
        <f>IF(G243="","",IF(F243="","","1 "&amp;F243&amp;" = "&amp;TEXT(G243,"#,##0")&amp;" "&amp;E243))</f>
        <v/>
      </c>
      <c r="L243" s="5" t="n"/>
    </row>
    <row r="244">
      <c r="A244" s="5" t="n">
        <v>2243</v>
      </c>
      <c r="B244" s="6" t="inlineStr">
        <is>
          <t>Food Container</t>
        </is>
      </c>
      <c r="C244" s="6" t="inlineStr">
        <is>
          <t>TS</t>
        </is>
      </c>
      <c r="D244" s="6" t="inlineStr">
        <is>
          <t>1000ml Container TS</t>
        </is>
      </c>
      <c r="E244" s="6" t="inlineStr">
        <is>
          <t>PCS</t>
        </is>
      </c>
      <c r="F244" s="6" t="inlineStr">
        <is>
          <t>Carton</t>
        </is>
      </c>
      <c r="G244" s="7" t="n">
        <v>250</v>
      </c>
      <c r="H244" s="8" t="n">
        <v>21</v>
      </c>
      <c r="I244" s="9">
        <f>IF(G244="","",G244*H244)</f>
        <v/>
      </c>
      <c r="J244" s="8" t="n">
        <v>0</v>
      </c>
      <c r="K244" s="5">
        <f>IF(G244="","",IF(F244="","","1 "&amp;F244&amp;" = "&amp;TEXT(G244,"#,##0")&amp;" "&amp;E244))</f>
        <v/>
      </c>
      <c r="L244" s="5" t="n"/>
    </row>
    <row r="245">
      <c r="A245" s="5" t="n">
        <v>2244</v>
      </c>
      <c r="B245" s="6" t="inlineStr">
        <is>
          <t>Food Container</t>
        </is>
      </c>
      <c r="C245" s="6" t="inlineStr">
        <is>
          <t>TS</t>
        </is>
      </c>
      <c r="D245" s="6" t="inlineStr">
        <is>
          <t>1500ml Container TS</t>
        </is>
      </c>
      <c r="E245" s="6" t="inlineStr">
        <is>
          <t>PCS</t>
        </is>
      </c>
      <c r="F245" s="6" t="inlineStr">
        <is>
          <t>Carton</t>
        </is>
      </c>
      <c r="G245" s="7" t="n">
        <v>300</v>
      </c>
      <c r="H245" s="8" t="n">
        <v>30</v>
      </c>
      <c r="I245" s="9">
        <f>IF(G245="","",G245*H245)</f>
        <v/>
      </c>
      <c r="J245" s="8" t="n">
        <v>0</v>
      </c>
      <c r="K245" s="5">
        <f>IF(G245="","",IF(F245="","","1 "&amp;F245&amp;" = "&amp;TEXT(G245,"#,##0")&amp;" "&amp;E245))</f>
        <v/>
      </c>
      <c r="L245" s="5" t="n"/>
    </row>
    <row r="246">
      <c r="A246" s="5" t="n">
        <v>2245</v>
      </c>
      <c r="B246" s="6" t="inlineStr">
        <is>
          <t>Food Container</t>
        </is>
      </c>
      <c r="C246" s="6" t="inlineStr">
        <is>
          <t>TS</t>
        </is>
      </c>
      <c r="D246" s="6" t="inlineStr">
        <is>
          <t>2000ml Container TS</t>
        </is>
      </c>
      <c r="E246" s="6" t="inlineStr">
        <is>
          <t>PCS</t>
        </is>
      </c>
      <c r="F246" s="6" t="inlineStr">
        <is>
          <t>Carton</t>
        </is>
      </c>
      <c r="G246" s="7" t="n">
        <v>150</v>
      </c>
      <c r="H246" s="8" t="n">
        <v>45</v>
      </c>
      <c r="I246" s="9">
        <f>IF(G246="","",G246*H246)</f>
        <v/>
      </c>
      <c r="J246" s="8" t="n">
        <v>0</v>
      </c>
      <c r="K246" s="5">
        <f>IF(G246="","",IF(F246="","","1 "&amp;F246&amp;" = "&amp;TEXT(G246,"#,##0")&amp;" "&amp;E246))</f>
        <v/>
      </c>
      <c r="L246" s="5" t="n"/>
    </row>
    <row r="247">
      <c r="A247" s="5" t="n">
        <v>2246</v>
      </c>
      <c r="B247" s="6" t="inlineStr">
        <is>
          <t>Food Container</t>
        </is>
      </c>
      <c r="C247" s="6" t="inlineStr">
        <is>
          <t>TS</t>
        </is>
      </c>
      <c r="D247" s="6" t="inlineStr">
        <is>
          <t>3000ml Container TS</t>
        </is>
      </c>
      <c r="E247" s="6" t="inlineStr">
        <is>
          <t>PCS</t>
        </is>
      </c>
      <c r="F247" s="6" t="inlineStr">
        <is>
          <t>Carton</t>
        </is>
      </c>
      <c r="G247" s="7" t="n">
        <v>150</v>
      </c>
      <c r="H247" s="8" t="n">
        <v>55</v>
      </c>
      <c r="I247" s="9">
        <f>IF(G247="","",G247*H247)</f>
        <v/>
      </c>
      <c r="J247" s="8" t="n">
        <v>0</v>
      </c>
      <c r="K247" s="5">
        <f>IF(G247="","",IF(F247="","","1 "&amp;F247&amp;" = "&amp;TEXT(G247,"#,##0")&amp;" "&amp;E247))</f>
        <v/>
      </c>
      <c r="L247" s="5" t="n"/>
    </row>
    <row r="248">
      <c r="A248" s="5" t="n">
        <v>2247</v>
      </c>
      <c r="B248" s="6" t="inlineStr">
        <is>
          <t>Food Container</t>
        </is>
      </c>
      <c r="C248" s="6" t="inlineStr">
        <is>
          <t>IS</t>
        </is>
      </c>
      <c r="D248" s="6" t="inlineStr">
        <is>
          <t>500ml Container IS</t>
        </is>
      </c>
      <c r="E248" s="6" t="inlineStr">
        <is>
          <t>PCS</t>
        </is>
      </c>
      <c r="F248" s="6" t="inlineStr">
        <is>
          <t>Carton</t>
        </is>
      </c>
      <c r="G248" s="7" t="n">
        <v>250</v>
      </c>
      <c r="H248" s="8" t="n">
        <v>19</v>
      </c>
      <c r="I248" s="9">
        <f>IF(G248="","",G248*H248)</f>
        <v/>
      </c>
      <c r="J248" s="8" t="n">
        <v>0</v>
      </c>
      <c r="K248" s="5">
        <f>IF(G248="","",IF(F248="","","1 "&amp;F248&amp;" = "&amp;TEXT(G248,"#,##0")&amp;" "&amp;E248))</f>
        <v/>
      </c>
      <c r="L248" s="5" t="n"/>
    </row>
    <row r="249">
      <c r="A249" s="5" t="n">
        <v>2248</v>
      </c>
      <c r="B249" s="6" t="inlineStr">
        <is>
          <t>Food Container</t>
        </is>
      </c>
      <c r="C249" s="6" t="inlineStr">
        <is>
          <t>IS</t>
        </is>
      </c>
      <c r="D249" s="6" t="inlineStr">
        <is>
          <t>750ml Container IS</t>
        </is>
      </c>
      <c r="E249" s="6" t="inlineStr">
        <is>
          <t>PCS</t>
        </is>
      </c>
      <c r="F249" s="6" t="inlineStr">
        <is>
          <t>Carton</t>
        </is>
      </c>
      <c r="G249" s="7" t="n">
        <v>250</v>
      </c>
      <c r="H249" s="8" t="n">
        <v>20</v>
      </c>
      <c r="I249" s="9">
        <f>IF(G249="","",G249*H249)</f>
        <v/>
      </c>
      <c r="J249" s="8" t="n">
        <v>0</v>
      </c>
      <c r="K249" s="5">
        <f>IF(G249="","",IF(F249="","","1 "&amp;F249&amp;" = "&amp;TEXT(G249,"#,##0")&amp;" "&amp;E249))</f>
        <v/>
      </c>
      <c r="L249" s="5" t="n"/>
    </row>
    <row r="250">
      <c r="A250" s="5" t="n">
        <v>2249</v>
      </c>
      <c r="B250" s="6" t="inlineStr">
        <is>
          <t>Food Container</t>
        </is>
      </c>
      <c r="C250" s="6" t="inlineStr">
        <is>
          <t>IS</t>
        </is>
      </c>
      <c r="D250" s="6" t="inlineStr">
        <is>
          <t>1000ml Container IS</t>
        </is>
      </c>
      <c r="E250" s="6" t="inlineStr">
        <is>
          <t>PCS</t>
        </is>
      </c>
      <c r="F250" s="6" t="inlineStr">
        <is>
          <t>Carton</t>
        </is>
      </c>
      <c r="G250" s="7" t="n">
        <v>250</v>
      </c>
      <c r="H250" s="8" t="n">
        <v>21</v>
      </c>
      <c r="I250" s="9">
        <f>IF(G250="","",G250*H250)</f>
        <v/>
      </c>
      <c r="J250" s="8" t="n">
        <v>0</v>
      </c>
      <c r="K250" s="5">
        <f>IF(G250="","",IF(F250="","","1 "&amp;F250&amp;" = "&amp;TEXT(G250,"#,##0")&amp;" "&amp;E250))</f>
        <v/>
      </c>
      <c r="L250" s="5" t="n"/>
    </row>
    <row r="251">
      <c r="A251" s="5" t="n">
        <v>2250</v>
      </c>
      <c r="B251" s="6" t="inlineStr">
        <is>
          <t>Food Container</t>
        </is>
      </c>
      <c r="C251" s="6" t="inlineStr">
        <is>
          <t>IS</t>
        </is>
      </c>
      <c r="D251" s="6" t="inlineStr">
        <is>
          <t>1500ml Container IS</t>
        </is>
      </c>
      <c r="E251" s="6" t="inlineStr">
        <is>
          <t>PCS</t>
        </is>
      </c>
      <c r="F251" s="6" t="inlineStr">
        <is>
          <t>Carton</t>
        </is>
      </c>
      <c r="G251" s="7" t="n">
        <v>300</v>
      </c>
      <c r="H251" s="8" t="n">
        <v>30</v>
      </c>
      <c r="I251" s="9">
        <f>IF(G251="","",G251*H251)</f>
        <v/>
      </c>
      <c r="J251" s="8" t="n">
        <v>0</v>
      </c>
      <c r="K251" s="5">
        <f>IF(G251="","",IF(F251="","","1 "&amp;F251&amp;" = "&amp;TEXT(G251,"#,##0")&amp;" "&amp;E251))</f>
        <v/>
      </c>
      <c r="L251" s="5" t="n"/>
    </row>
    <row r="252">
      <c r="A252" s="5" t="n">
        <v>2251</v>
      </c>
      <c r="B252" s="6" t="inlineStr">
        <is>
          <t>Food Container</t>
        </is>
      </c>
      <c r="C252" s="6" t="inlineStr">
        <is>
          <t>ICC</t>
        </is>
      </c>
      <c r="D252" s="6" t="inlineStr">
        <is>
          <t>500ml Container ICC</t>
        </is>
      </c>
      <c r="E252" s="6" t="inlineStr">
        <is>
          <t>PCS</t>
        </is>
      </c>
      <c r="F252" s="6" t="inlineStr">
        <is>
          <t>Carton</t>
        </is>
      </c>
      <c r="G252" s="7" t="n">
        <v>250</v>
      </c>
      <c r="H252" s="8" t="n">
        <v>19</v>
      </c>
      <c r="I252" s="9">
        <f>IF(G252="","",G252*H252)</f>
        <v/>
      </c>
      <c r="J252" s="8" t="n">
        <v>0</v>
      </c>
      <c r="K252" s="5">
        <f>IF(G252="","",IF(F252="","","1 "&amp;F252&amp;" = "&amp;TEXT(G252,"#,##0")&amp;" "&amp;E252))</f>
        <v/>
      </c>
      <c r="L252" s="5" t="n"/>
    </row>
    <row r="253">
      <c r="A253" s="5" t="n">
        <v>2252</v>
      </c>
      <c r="B253" s="6" t="inlineStr">
        <is>
          <t>Food Container</t>
        </is>
      </c>
      <c r="C253" s="6" t="inlineStr">
        <is>
          <t>ICC</t>
        </is>
      </c>
      <c r="D253" s="6" t="inlineStr">
        <is>
          <t>750ml Container ICC</t>
        </is>
      </c>
      <c r="E253" s="6" t="inlineStr">
        <is>
          <t>PCS</t>
        </is>
      </c>
      <c r="F253" s="6" t="inlineStr">
        <is>
          <t>Carton</t>
        </is>
      </c>
      <c r="G253" s="7" t="n">
        <v>250</v>
      </c>
      <c r="H253" s="8" t="n">
        <v>20</v>
      </c>
      <c r="I253" s="9">
        <f>IF(G253="","",G253*H253)</f>
        <v/>
      </c>
      <c r="J253" s="8" t="n">
        <v>0</v>
      </c>
      <c r="K253" s="5">
        <f>IF(G253="","",IF(F253="","","1 "&amp;F253&amp;" = "&amp;TEXT(G253,"#,##0")&amp;" "&amp;E253))</f>
        <v/>
      </c>
      <c r="L253" s="5" t="n"/>
    </row>
    <row r="254">
      <c r="A254" s="5" t="n">
        <v>2253</v>
      </c>
      <c r="B254" s="6" t="inlineStr">
        <is>
          <t>Food Container</t>
        </is>
      </c>
      <c r="C254" s="6" t="inlineStr">
        <is>
          <t>ICC</t>
        </is>
      </c>
      <c r="D254" s="6" t="inlineStr">
        <is>
          <t>1000ml Container ICC</t>
        </is>
      </c>
      <c r="E254" s="6" t="inlineStr">
        <is>
          <t>PCS</t>
        </is>
      </c>
      <c r="F254" s="6" t="inlineStr">
        <is>
          <t>Carton</t>
        </is>
      </c>
      <c r="G254" s="7" t="n">
        <v>250</v>
      </c>
      <c r="H254" s="8" t="n">
        <v>21</v>
      </c>
      <c r="I254" s="9">
        <f>IF(G254="","",G254*H254)</f>
        <v/>
      </c>
      <c r="J254" s="8" t="n">
        <v>0</v>
      </c>
      <c r="K254" s="5">
        <f>IF(G254="","",IF(F254="","","1 "&amp;F254&amp;" = "&amp;TEXT(G254,"#,##0")&amp;" "&amp;E254))</f>
        <v/>
      </c>
      <c r="L254" s="5" t="n"/>
    </row>
    <row r="255">
      <c r="A255" s="5" t="n">
        <v>2254</v>
      </c>
      <c r="B255" s="6" t="inlineStr">
        <is>
          <t>Food Container</t>
        </is>
      </c>
      <c r="C255" s="6" t="inlineStr">
        <is>
          <t>CP</t>
        </is>
      </c>
      <c r="D255" s="6" t="inlineStr">
        <is>
          <t>R-14 Container CP</t>
        </is>
      </c>
      <c r="E255" s="6" t="inlineStr">
        <is>
          <t>PCS</t>
        </is>
      </c>
      <c r="F255" s="6" t="inlineStr">
        <is>
          <t>Carton</t>
        </is>
      </c>
      <c r="G255" s="7" t="n">
        <v>500</v>
      </c>
      <c r="H255" s="8" t="n">
        <v>14</v>
      </c>
      <c r="I255" s="9">
        <f>IF(G255="","",G255*H255)</f>
        <v/>
      </c>
      <c r="J255" s="8" t="n">
        <v>0</v>
      </c>
      <c r="K255" s="5">
        <f>IF(G255="","",IF(F255="","","1 "&amp;F255&amp;" = "&amp;TEXT(G255,"#,##0")&amp;" "&amp;E255))</f>
        <v/>
      </c>
      <c r="L255" s="5" t="n"/>
    </row>
    <row r="256">
      <c r="A256" s="5" t="n">
        <v>2255</v>
      </c>
      <c r="B256" s="6" t="inlineStr">
        <is>
          <t>Food Container</t>
        </is>
      </c>
      <c r="C256" s="6" t="inlineStr">
        <is>
          <t>CP</t>
        </is>
      </c>
      <c r="D256" s="6" t="inlineStr">
        <is>
          <t>R-10 Container CP</t>
        </is>
      </c>
      <c r="E256" s="6" t="inlineStr">
        <is>
          <t>PCS</t>
        </is>
      </c>
      <c r="F256" s="6" t="inlineStr">
        <is>
          <t>Carton</t>
        </is>
      </c>
      <c r="G256" s="7" t="n">
        <v>500</v>
      </c>
      <c r="H256" s="8" t="n">
        <v>15</v>
      </c>
      <c r="I256" s="9">
        <f>IF(G256="","",G256*H256)</f>
        <v/>
      </c>
      <c r="J256" s="8" t="n">
        <v>0</v>
      </c>
      <c r="K256" s="5">
        <f>IF(G256="","",IF(F256="","","1 "&amp;F256&amp;" = "&amp;TEXT(G256,"#,##0")&amp;" "&amp;E256))</f>
        <v/>
      </c>
      <c r="L256" s="5" t="n"/>
    </row>
    <row r="257">
      <c r="A257" s="5" t="n">
        <v>2256</v>
      </c>
      <c r="B257" s="6" t="inlineStr">
        <is>
          <t>Food Container</t>
        </is>
      </c>
      <c r="C257" s="6" t="inlineStr">
        <is>
          <t>CP</t>
        </is>
      </c>
      <c r="D257" s="6" t="inlineStr">
        <is>
          <t>R-16 Container CP</t>
        </is>
      </c>
      <c r="E257" s="6" t="inlineStr">
        <is>
          <t>PCS</t>
        </is>
      </c>
      <c r="F257" s="6" t="inlineStr">
        <is>
          <t>Carton</t>
        </is>
      </c>
      <c r="G257" s="7" t="n">
        <v>500</v>
      </c>
      <c r="H257" s="8" t="n">
        <v>16</v>
      </c>
      <c r="I257" s="9">
        <f>IF(G257="","",G257*H257)</f>
        <v/>
      </c>
      <c r="J257" s="8" t="n">
        <v>0</v>
      </c>
      <c r="K257" s="5">
        <f>IF(G257="","",IF(F257="","","1 "&amp;F257&amp;" = "&amp;TEXT(G257,"#,##0")&amp;" "&amp;E257))</f>
        <v/>
      </c>
      <c r="L257" s="5" t="n"/>
    </row>
    <row r="258">
      <c r="A258" s="5" t="n">
        <v>2257</v>
      </c>
      <c r="B258" s="6" t="inlineStr">
        <is>
          <t>Food Container</t>
        </is>
      </c>
      <c r="C258" s="6" t="inlineStr">
        <is>
          <t>CP</t>
        </is>
      </c>
      <c r="D258" s="6" t="inlineStr">
        <is>
          <t>500ml Container CP</t>
        </is>
      </c>
      <c r="E258" s="6" t="inlineStr">
        <is>
          <t>PCS</t>
        </is>
      </c>
      <c r="F258" s="6" t="inlineStr">
        <is>
          <t>Carton</t>
        </is>
      </c>
      <c r="G258" s="7" t="n">
        <v>250</v>
      </c>
      <c r="H258" s="8" t="n">
        <v>19</v>
      </c>
      <c r="I258" s="9">
        <f>IF(G258="","",G258*H258)</f>
        <v/>
      </c>
      <c r="J258" s="8" t="n">
        <v>0</v>
      </c>
      <c r="K258" s="5">
        <f>IF(G258="","",IF(F258="","","1 "&amp;F258&amp;" = "&amp;TEXT(G258,"#,##0")&amp;" "&amp;E258))</f>
        <v/>
      </c>
      <c r="L258" s="5" t="n"/>
    </row>
    <row r="259">
      <c r="A259" s="5" t="n">
        <v>2258</v>
      </c>
      <c r="B259" s="6" t="inlineStr">
        <is>
          <t>Food Container</t>
        </is>
      </c>
      <c r="C259" s="6" t="inlineStr">
        <is>
          <t>CP</t>
        </is>
      </c>
      <c r="D259" s="6" t="inlineStr">
        <is>
          <t>750ml Container CP</t>
        </is>
      </c>
      <c r="E259" s="6" t="inlineStr">
        <is>
          <t>PCS</t>
        </is>
      </c>
      <c r="F259" s="6" t="inlineStr">
        <is>
          <t>Carton</t>
        </is>
      </c>
      <c r="G259" s="7" t="n">
        <v>250</v>
      </c>
      <c r="H259" s="8" t="n">
        <v>20</v>
      </c>
      <c r="I259" s="9">
        <f>IF(G259="","",G259*H259)</f>
        <v/>
      </c>
      <c r="J259" s="8" t="n">
        <v>0</v>
      </c>
      <c r="K259" s="5">
        <f>IF(G259="","",IF(F259="","","1 "&amp;F259&amp;" = "&amp;TEXT(G259,"#,##0")&amp;" "&amp;E259))</f>
        <v/>
      </c>
      <c r="L259" s="5" t="n"/>
    </row>
    <row r="260">
      <c r="A260" s="5" t="n">
        <v>2259</v>
      </c>
      <c r="B260" s="6" t="inlineStr">
        <is>
          <t>Food Container</t>
        </is>
      </c>
      <c r="C260" s="6" t="inlineStr">
        <is>
          <t>CP</t>
        </is>
      </c>
      <c r="D260" s="6" t="inlineStr">
        <is>
          <t>1000ml Container CP</t>
        </is>
      </c>
      <c r="E260" s="6" t="inlineStr">
        <is>
          <t>PCS</t>
        </is>
      </c>
      <c r="F260" s="6" t="inlineStr">
        <is>
          <t>Carton</t>
        </is>
      </c>
      <c r="G260" s="7" t="n">
        <v>250</v>
      </c>
      <c r="H260" s="8" t="n">
        <v>21</v>
      </c>
      <c r="I260" s="9">
        <f>IF(G260="","",G260*H260)</f>
        <v/>
      </c>
      <c r="J260" s="8" t="n">
        <v>0</v>
      </c>
      <c r="K260" s="5">
        <f>IF(G260="","",IF(F260="","","1 "&amp;F260&amp;" = "&amp;TEXT(G260,"#,##0")&amp;" "&amp;E260))</f>
        <v/>
      </c>
      <c r="L260" s="5" t="n"/>
    </row>
    <row r="261">
      <c r="A261" s="5" t="n">
        <v>2260</v>
      </c>
      <c r="B261" s="6" t="inlineStr">
        <is>
          <t>Food Container</t>
        </is>
      </c>
      <c r="C261" s="6" t="inlineStr">
        <is>
          <t>CP</t>
        </is>
      </c>
      <c r="D261" s="6" t="inlineStr">
        <is>
          <t>1500ml Container CP</t>
        </is>
      </c>
      <c r="E261" s="6" t="inlineStr">
        <is>
          <t>PCS</t>
        </is>
      </c>
      <c r="F261" s="6" t="inlineStr">
        <is>
          <t>Carton</t>
        </is>
      </c>
      <c r="G261" s="7" t="n">
        <v>300</v>
      </c>
      <c r="H261" s="8" t="n">
        <v>30</v>
      </c>
      <c r="I261" s="9">
        <f>IF(G261="","",G261*H261)</f>
        <v/>
      </c>
      <c r="J261" s="8" t="n">
        <v>0</v>
      </c>
      <c r="K261" s="5">
        <f>IF(G261="","",IF(F261="","","1 "&amp;F261&amp;" = "&amp;TEXT(G261,"#,##0")&amp;" "&amp;E261))</f>
        <v/>
      </c>
      <c r="L261" s="5" t="n"/>
    </row>
    <row r="262">
      <c r="A262" s="5" t="n">
        <v>2261</v>
      </c>
      <c r="B262" s="6" t="inlineStr">
        <is>
          <t>Food Container</t>
        </is>
      </c>
      <c r="C262" s="6" t="inlineStr">
        <is>
          <t>CP</t>
        </is>
      </c>
      <c r="D262" s="6" t="inlineStr">
        <is>
          <t>2000ml Container CP</t>
        </is>
      </c>
      <c r="E262" s="6" t="inlineStr">
        <is>
          <t>PCS</t>
        </is>
      </c>
      <c r="F262" s="6" t="inlineStr">
        <is>
          <t>Carton</t>
        </is>
      </c>
      <c r="G262" s="7" t="n">
        <v>150</v>
      </c>
      <c r="H262" s="8" t="n">
        <v>45</v>
      </c>
      <c r="I262" s="9">
        <f>IF(G262="","",G262*H262)</f>
        <v/>
      </c>
      <c r="J262" s="8" t="n">
        <v>0</v>
      </c>
      <c r="K262" s="5">
        <f>IF(G262="","",IF(F262="","","1 "&amp;F262&amp;" = "&amp;TEXT(G262,"#,##0")&amp;" "&amp;E262))</f>
        <v/>
      </c>
      <c r="L262" s="5" t="n"/>
    </row>
    <row r="263">
      <c r="A263" s="5" t="n">
        <v>2262</v>
      </c>
      <c r="B263" s="6" t="inlineStr">
        <is>
          <t>Food Container</t>
        </is>
      </c>
      <c r="C263" s="6" t="inlineStr">
        <is>
          <t>CP</t>
        </is>
      </c>
      <c r="D263" s="6" t="inlineStr">
        <is>
          <t>3000ml Container CP</t>
        </is>
      </c>
      <c r="E263" s="6" t="inlineStr">
        <is>
          <t>PCS</t>
        </is>
      </c>
      <c r="F263" s="6" t="inlineStr">
        <is>
          <t>Carton</t>
        </is>
      </c>
      <c r="G263" s="7" t="n">
        <v>150</v>
      </c>
      <c r="H263" s="8" t="n">
        <v>55</v>
      </c>
      <c r="I263" s="9">
        <f>IF(G263="","",G263*H263)</f>
        <v/>
      </c>
      <c r="J263" s="8" t="n">
        <v>0</v>
      </c>
      <c r="K263" s="5">
        <f>IF(G263="","",IF(F263="","","1 "&amp;F263&amp;" = "&amp;TEXT(G263,"#,##0")&amp;" "&amp;E263))</f>
        <v/>
      </c>
      <c r="L263" s="5" t="n"/>
    </row>
    <row r="264">
      <c r="A264" s="5" t="n">
        <v>2263</v>
      </c>
      <c r="B264" s="6" t="inlineStr">
        <is>
          <t>Food Container</t>
        </is>
      </c>
      <c r="C264" s="6" t="inlineStr">
        <is>
          <t>Hot and Cool</t>
        </is>
      </c>
      <c r="D264" s="6" t="inlineStr">
        <is>
          <t>500ml Container Hot and Cool</t>
        </is>
      </c>
      <c r="E264" s="6" t="inlineStr">
        <is>
          <t>PCS</t>
        </is>
      </c>
      <c r="F264" s="6" t="inlineStr">
        <is>
          <t>Carton</t>
        </is>
      </c>
      <c r="G264" s="7" t="n">
        <v>250</v>
      </c>
      <c r="H264" s="8" t="n">
        <v>19</v>
      </c>
      <c r="I264" s="9">
        <f>IF(G264="","",G264*H264)</f>
        <v/>
      </c>
      <c r="J264" s="8" t="n">
        <v>0</v>
      </c>
      <c r="K264" s="5">
        <f>IF(G264="","",IF(F264="","","1 "&amp;F264&amp;" = "&amp;TEXT(G264,"#,##0")&amp;" "&amp;E264))</f>
        <v/>
      </c>
      <c r="L264" s="5" t="n"/>
    </row>
    <row r="265">
      <c r="A265" s="5" t="n">
        <v>2264</v>
      </c>
      <c r="B265" s="6" t="inlineStr">
        <is>
          <t>Food Container</t>
        </is>
      </c>
      <c r="C265" s="6" t="inlineStr">
        <is>
          <t>Hot and Cool</t>
        </is>
      </c>
      <c r="D265" s="6" t="inlineStr">
        <is>
          <t>750ml Container Hot and Cool</t>
        </is>
      </c>
      <c r="E265" s="6" t="inlineStr">
        <is>
          <t>PCS</t>
        </is>
      </c>
      <c r="F265" s="6" t="inlineStr">
        <is>
          <t>Carton</t>
        </is>
      </c>
      <c r="G265" s="7" t="n">
        <v>250</v>
      </c>
      <c r="H265" s="8" t="n">
        <v>20</v>
      </c>
      <c r="I265" s="9">
        <f>IF(G265="","",G265*H265)</f>
        <v/>
      </c>
      <c r="J265" s="8" t="n">
        <v>0</v>
      </c>
      <c r="K265" s="5">
        <f>IF(G265="","",IF(F265="","","1 "&amp;F265&amp;" = "&amp;TEXT(G265,"#,##0")&amp;" "&amp;E265))</f>
        <v/>
      </c>
      <c r="L265" s="5" t="n"/>
    </row>
    <row r="266">
      <c r="A266" s="5" t="n">
        <v>2265</v>
      </c>
      <c r="B266" s="6" t="inlineStr">
        <is>
          <t>Food Container</t>
        </is>
      </c>
      <c r="C266" s="6" t="inlineStr">
        <is>
          <t>Hot and Cool</t>
        </is>
      </c>
      <c r="D266" s="6" t="inlineStr">
        <is>
          <t>1000ml Container Hot and Cool</t>
        </is>
      </c>
      <c r="E266" s="6" t="inlineStr">
        <is>
          <t>PCS</t>
        </is>
      </c>
      <c r="F266" s="6" t="inlineStr">
        <is>
          <t>Carton</t>
        </is>
      </c>
      <c r="G266" s="7" t="n">
        <v>250</v>
      </c>
      <c r="H266" s="8" t="n">
        <v>21</v>
      </c>
      <c r="I266" s="9">
        <f>IF(G266="","",G266*H266)</f>
        <v/>
      </c>
      <c r="J266" s="8" t="n">
        <v>0</v>
      </c>
      <c r="K266" s="5">
        <f>IF(G266="","",IF(F266="","","1 "&amp;F266&amp;" = "&amp;TEXT(G266,"#,##0")&amp;" "&amp;E266))</f>
        <v/>
      </c>
      <c r="L266" s="5" t="n"/>
    </row>
    <row r="267">
      <c r="A267" s="5" t="n">
        <v>2266</v>
      </c>
      <c r="B267" s="6" t="inlineStr">
        <is>
          <t>Food Container</t>
        </is>
      </c>
      <c r="C267" s="6" t="inlineStr">
        <is>
          <t>Hot and Cool</t>
        </is>
      </c>
      <c r="D267" s="6" t="inlineStr">
        <is>
          <t>1500ml Container Hot and Cool</t>
        </is>
      </c>
      <c r="E267" s="6" t="inlineStr">
        <is>
          <t>PCS</t>
        </is>
      </c>
      <c r="F267" s="6" t="inlineStr">
        <is>
          <t>Carton</t>
        </is>
      </c>
      <c r="G267" s="7" t="n">
        <v>300</v>
      </c>
      <c r="H267" s="8" t="n">
        <v>30</v>
      </c>
      <c r="I267" s="9">
        <f>IF(G267="","",G267*H267)</f>
        <v/>
      </c>
      <c r="J267" s="8" t="n">
        <v>0</v>
      </c>
      <c r="K267" s="5">
        <f>IF(G267="","",IF(F267="","","1 "&amp;F267&amp;" = "&amp;TEXT(G267,"#,##0")&amp;" "&amp;E267))</f>
        <v/>
      </c>
      <c r="L267" s="5" t="n"/>
    </row>
    <row r="268">
      <c r="A268" s="5" t="n">
        <v>2267</v>
      </c>
      <c r="B268" s="6" t="inlineStr">
        <is>
          <t>Food Container</t>
        </is>
      </c>
      <c r="C268" s="6" t="inlineStr">
        <is>
          <t>Hot and Cool</t>
        </is>
      </c>
      <c r="D268" s="6" t="inlineStr">
        <is>
          <t>4000ml Container Hot and Cool</t>
        </is>
      </c>
      <c r="E268" s="6" t="inlineStr">
        <is>
          <t>PCS</t>
        </is>
      </c>
      <c r="F268" s="6" t="inlineStr">
        <is>
          <t>Carton</t>
        </is>
      </c>
      <c r="G268" s="7" t="n">
        <v>100</v>
      </c>
      <c r="H268" s="8" t="n">
        <v>80</v>
      </c>
      <c r="I268" s="9">
        <f>IF(G268="","",G268*H268)</f>
        <v/>
      </c>
      <c r="J268" s="8" t="n">
        <v>0</v>
      </c>
      <c r="K268" s="5">
        <f>IF(G268="","",IF(F268="","","1 "&amp;F268&amp;" = "&amp;TEXT(G268,"#,##0")&amp;" "&amp;E268))</f>
        <v/>
      </c>
      <c r="L268" s="5" t="n"/>
    </row>
    <row r="269">
      <c r="A269" s="5" t="n">
        <v>2268</v>
      </c>
      <c r="B269" s="6" t="inlineStr">
        <is>
          <t>Food Container</t>
        </is>
      </c>
      <c r="C269" s="6" t="inlineStr">
        <is>
          <t>TP</t>
        </is>
      </c>
      <c r="D269" s="6" t="inlineStr">
        <is>
          <t>R-14 Container TP</t>
        </is>
      </c>
      <c r="E269" s="6" t="inlineStr">
        <is>
          <t>PCS</t>
        </is>
      </c>
      <c r="F269" s="6" t="inlineStr">
        <is>
          <t>Carton</t>
        </is>
      </c>
      <c r="G269" s="7" t="n">
        <v>500</v>
      </c>
      <c r="H269" s="8" t="n">
        <v>14</v>
      </c>
      <c r="I269" s="9">
        <f>IF(G269="","",G269*H269)</f>
        <v/>
      </c>
      <c r="J269" s="8" t="n">
        <v>0</v>
      </c>
      <c r="K269" s="5">
        <f>IF(G269="","",IF(F269="","","1 "&amp;F269&amp;" = "&amp;TEXT(G269,"#,##0")&amp;" "&amp;E269))</f>
        <v/>
      </c>
      <c r="L269" s="5" t="n"/>
    </row>
    <row r="270">
      <c r="A270" s="5" t="n">
        <v>2269</v>
      </c>
      <c r="B270" s="6" t="inlineStr">
        <is>
          <t>Food Container</t>
        </is>
      </c>
      <c r="C270" s="6" t="inlineStr">
        <is>
          <t>TP</t>
        </is>
      </c>
      <c r="D270" s="6" t="inlineStr">
        <is>
          <t>R-10 Container TP</t>
        </is>
      </c>
      <c r="E270" s="6" t="inlineStr">
        <is>
          <t>PCS</t>
        </is>
      </c>
      <c r="F270" s="6" t="inlineStr">
        <is>
          <t>Carton</t>
        </is>
      </c>
      <c r="G270" s="7" t="n">
        <v>500</v>
      </c>
      <c r="H270" s="8" t="n">
        <v>15</v>
      </c>
      <c r="I270" s="9">
        <f>IF(G270="","",G270*H270)</f>
        <v/>
      </c>
      <c r="J270" s="8" t="n">
        <v>0</v>
      </c>
      <c r="K270" s="5">
        <f>IF(G270="","",IF(F270="","","1 "&amp;F270&amp;" = "&amp;TEXT(G270,"#,##0")&amp;" "&amp;E270))</f>
        <v/>
      </c>
      <c r="L270" s="5" t="n"/>
    </row>
    <row r="271">
      <c r="A271" s="5" t="n">
        <v>2270</v>
      </c>
      <c r="B271" s="6" t="inlineStr">
        <is>
          <t>Food Container</t>
        </is>
      </c>
      <c r="C271" s="6" t="inlineStr">
        <is>
          <t>TP</t>
        </is>
      </c>
      <c r="D271" s="6" t="inlineStr">
        <is>
          <t>R-16 Container TP</t>
        </is>
      </c>
      <c r="E271" s="6" t="inlineStr">
        <is>
          <t>PCS</t>
        </is>
      </c>
      <c r="F271" s="6" t="inlineStr">
        <is>
          <t>Carton</t>
        </is>
      </c>
      <c r="G271" s="7" t="n">
        <v>500</v>
      </c>
      <c r="H271" s="8" t="n">
        <v>16</v>
      </c>
      <c r="I271" s="9">
        <f>IF(G271="","",G271*H271)</f>
        <v/>
      </c>
      <c r="J271" s="8" t="n">
        <v>0</v>
      </c>
      <c r="K271" s="5">
        <f>IF(G271="","",IF(F271="","","1 "&amp;F271&amp;" = "&amp;TEXT(G271,"#,##0")&amp;" "&amp;E271))</f>
        <v/>
      </c>
      <c r="L271" s="5" t="n"/>
    </row>
    <row r="272">
      <c r="A272" s="5" t="n">
        <v>2271</v>
      </c>
      <c r="B272" s="6" t="inlineStr">
        <is>
          <t>Food Container</t>
        </is>
      </c>
      <c r="C272" s="6" t="inlineStr">
        <is>
          <t>Huzaifa</t>
        </is>
      </c>
      <c r="D272" s="6" t="inlineStr">
        <is>
          <t>R-10 Container Huzaifa</t>
        </is>
      </c>
      <c r="E272" s="6" t="inlineStr">
        <is>
          <t>PCS</t>
        </is>
      </c>
      <c r="F272" s="6" t="inlineStr">
        <is>
          <t>Carton</t>
        </is>
      </c>
      <c r="G272" s="7" t="n">
        <v>500</v>
      </c>
      <c r="H272" s="8" t="n">
        <v>15</v>
      </c>
      <c r="I272" s="9">
        <f>IF(G272="","",G272*H272)</f>
        <v/>
      </c>
      <c r="J272" s="8" t="n">
        <v>0</v>
      </c>
      <c r="K272" s="5">
        <f>IF(G272="","",IF(F272="","","1 "&amp;F272&amp;" = "&amp;TEXT(G272,"#,##0")&amp;" "&amp;E272))</f>
        <v/>
      </c>
      <c r="L272" s="5" t="n"/>
    </row>
    <row r="273">
      <c r="A273" s="5" t="n">
        <v>2272</v>
      </c>
      <c r="B273" s="6" t="inlineStr">
        <is>
          <t>Food Container</t>
        </is>
      </c>
      <c r="C273" s="6" t="inlineStr">
        <is>
          <t>Huzaifa</t>
        </is>
      </c>
      <c r="D273" s="6" t="inlineStr">
        <is>
          <t>R-16 Container Huzaifa</t>
        </is>
      </c>
      <c r="E273" s="6" t="inlineStr">
        <is>
          <t>PCS</t>
        </is>
      </c>
      <c r="F273" s="6" t="inlineStr">
        <is>
          <t>Carton</t>
        </is>
      </c>
      <c r="G273" s="7" t="n">
        <v>500</v>
      </c>
      <c r="H273" s="8" t="n">
        <v>16</v>
      </c>
      <c r="I273" s="9">
        <f>IF(G273="","",G273*H273)</f>
        <v/>
      </c>
      <c r="J273" s="8" t="n">
        <v>0</v>
      </c>
      <c r="K273" s="5">
        <f>IF(G273="","",IF(F273="","","1 "&amp;F273&amp;" = "&amp;TEXT(G273,"#,##0")&amp;" "&amp;E273))</f>
        <v/>
      </c>
      <c r="L273" s="5" t="n"/>
    </row>
    <row r="274">
      <c r="A274" s="5" t="n">
        <v>2273</v>
      </c>
      <c r="B274" s="6" t="inlineStr">
        <is>
          <t>Food Container</t>
        </is>
      </c>
      <c r="C274" s="6" t="inlineStr">
        <is>
          <t>Huzaifa</t>
        </is>
      </c>
      <c r="D274" s="6" t="inlineStr">
        <is>
          <t>1500ml Container Huzaifa</t>
        </is>
      </c>
      <c r="E274" s="6" t="inlineStr">
        <is>
          <t>PCS</t>
        </is>
      </c>
      <c r="F274" s="6" t="inlineStr">
        <is>
          <t>Carton</t>
        </is>
      </c>
      <c r="G274" s="7" t="n">
        <v>300</v>
      </c>
      <c r="H274" s="8" t="n">
        <v>30</v>
      </c>
      <c r="I274" s="9">
        <f>IF(G274="","",G274*H274)</f>
        <v/>
      </c>
      <c r="J274" s="8" t="n">
        <v>0</v>
      </c>
      <c r="K274" s="5">
        <f>IF(G274="","",IF(F274="","","1 "&amp;F274&amp;" = "&amp;TEXT(G274,"#,##0")&amp;" "&amp;E274))</f>
        <v/>
      </c>
      <c r="L274" s="5" t="n"/>
    </row>
    <row r="275">
      <c r="A275" s="5" t="n">
        <v>2274</v>
      </c>
      <c r="B275" s="6" t="inlineStr">
        <is>
          <t>Food Container</t>
        </is>
      </c>
      <c r="C275" s="6" t="inlineStr">
        <is>
          <t>Huzaifa</t>
        </is>
      </c>
      <c r="D275" s="6" t="inlineStr">
        <is>
          <t>2000ml Container Huzaifa</t>
        </is>
      </c>
      <c r="E275" s="6" t="inlineStr">
        <is>
          <t>PCS</t>
        </is>
      </c>
      <c r="F275" s="6" t="inlineStr">
        <is>
          <t>Carton</t>
        </is>
      </c>
      <c r="G275" s="7" t="n">
        <v>150</v>
      </c>
      <c r="H275" s="8" t="n">
        <v>45</v>
      </c>
      <c r="I275" s="9">
        <f>IF(G275="","",G275*H275)</f>
        <v/>
      </c>
      <c r="J275" s="8" t="n">
        <v>0</v>
      </c>
      <c r="K275" s="5">
        <f>IF(G275="","",IF(F275="","","1 "&amp;F275&amp;" = "&amp;TEXT(G275,"#,##0")&amp;" "&amp;E275))</f>
        <v/>
      </c>
      <c r="L275" s="5" t="n"/>
    </row>
    <row r="276">
      <c r="A276" s="5" t="n">
        <v>2275</v>
      </c>
      <c r="B276" s="6" t="inlineStr">
        <is>
          <t>Food Container</t>
        </is>
      </c>
      <c r="C276" s="6" t="inlineStr">
        <is>
          <t>Huzaifa</t>
        </is>
      </c>
      <c r="D276" s="6" t="inlineStr">
        <is>
          <t>3000ml Container Huzaifa</t>
        </is>
      </c>
      <c r="E276" s="6" t="inlineStr">
        <is>
          <t>PCS</t>
        </is>
      </c>
      <c r="F276" s="6" t="inlineStr">
        <is>
          <t>Carton</t>
        </is>
      </c>
      <c r="G276" s="7" t="n">
        <v>150</v>
      </c>
      <c r="H276" s="8" t="n">
        <v>55</v>
      </c>
      <c r="I276" s="9">
        <f>IF(G276="","",G276*H276)</f>
        <v/>
      </c>
      <c r="J276" s="8" t="n">
        <v>0</v>
      </c>
      <c r="K276" s="5">
        <f>IF(G276="","",IF(F276="","","1 "&amp;F276&amp;" = "&amp;TEXT(G276,"#,##0")&amp;" "&amp;E276))</f>
        <v/>
      </c>
      <c r="L276" s="5" t="n"/>
    </row>
    <row r="277">
      <c r="A277" s="5" t="n">
        <v>2276</v>
      </c>
      <c r="B277" s="6" t="inlineStr">
        <is>
          <t>Food Container</t>
        </is>
      </c>
      <c r="C277" s="6" t="inlineStr">
        <is>
          <t>H and H</t>
        </is>
      </c>
      <c r="D277" s="6" t="inlineStr">
        <is>
          <t>500ml Container H and H</t>
        </is>
      </c>
      <c r="E277" s="6" t="inlineStr">
        <is>
          <t>PCS</t>
        </is>
      </c>
      <c r="F277" s="6" t="inlineStr">
        <is>
          <t>Carton</t>
        </is>
      </c>
      <c r="G277" s="7" t="n">
        <v>250</v>
      </c>
      <c r="H277" s="8" t="n">
        <v>19</v>
      </c>
      <c r="I277" s="9">
        <f>IF(G277="","",G277*H277)</f>
        <v/>
      </c>
      <c r="J277" s="8" t="n">
        <v>0</v>
      </c>
      <c r="K277" s="5">
        <f>IF(G277="","",IF(F277="","","1 "&amp;F277&amp;" = "&amp;TEXT(G277,"#,##0")&amp;" "&amp;E277))</f>
        <v/>
      </c>
      <c r="L277" s="5" t="n"/>
    </row>
    <row r="278">
      <c r="A278" s="5" t="n">
        <v>2277</v>
      </c>
      <c r="B278" s="6" t="inlineStr">
        <is>
          <t>Food Container</t>
        </is>
      </c>
      <c r="C278" s="6" t="inlineStr">
        <is>
          <t>H and H</t>
        </is>
      </c>
      <c r="D278" s="6" t="inlineStr">
        <is>
          <t>750ml Container H and H</t>
        </is>
      </c>
      <c r="E278" s="6" t="inlineStr">
        <is>
          <t>PCS</t>
        </is>
      </c>
      <c r="F278" s="6" t="inlineStr">
        <is>
          <t>Carton</t>
        </is>
      </c>
      <c r="G278" s="7" t="n">
        <v>250</v>
      </c>
      <c r="H278" s="8" t="n">
        <v>20</v>
      </c>
      <c r="I278" s="9">
        <f>IF(G278="","",G278*H278)</f>
        <v/>
      </c>
      <c r="J278" s="8" t="n">
        <v>0</v>
      </c>
      <c r="K278" s="5">
        <f>IF(G278="","",IF(F278="","","1 "&amp;F278&amp;" = "&amp;TEXT(G278,"#,##0")&amp;" "&amp;E278))</f>
        <v/>
      </c>
      <c r="L278" s="5" t="n"/>
    </row>
    <row r="279">
      <c r="A279" s="5" t="n">
        <v>2278</v>
      </c>
      <c r="B279" s="6" t="inlineStr">
        <is>
          <t>Food Container</t>
        </is>
      </c>
      <c r="C279" s="6" t="inlineStr">
        <is>
          <t>H and H</t>
        </is>
      </c>
      <c r="D279" s="6" t="inlineStr">
        <is>
          <t>1000ml Container H and H</t>
        </is>
      </c>
      <c r="E279" s="6" t="inlineStr">
        <is>
          <t>PCS</t>
        </is>
      </c>
      <c r="F279" s="6" t="inlineStr">
        <is>
          <t>Carton</t>
        </is>
      </c>
      <c r="G279" s="7" t="n">
        <v>250</v>
      </c>
      <c r="H279" s="8" t="n">
        <v>21</v>
      </c>
      <c r="I279" s="9">
        <f>IF(G279="","",G279*H279)</f>
        <v/>
      </c>
      <c r="J279" s="8" t="n">
        <v>0</v>
      </c>
      <c r="K279" s="5">
        <f>IF(G279="","",IF(F279="","","1 "&amp;F279&amp;" = "&amp;TEXT(G279,"#,##0")&amp;" "&amp;E279))</f>
        <v/>
      </c>
      <c r="L279" s="5" t="n"/>
    </row>
    <row r="280">
      <c r="A280" s="5" t="n">
        <v>2279</v>
      </c>
      <c r="B280" s="6" t="inlineStr">
        <is>
          <t>Food Container</t>
        </is>
      </c>
      <c r="C280" s="6" t="inlineStr">
        <is>
          <t>Ravi</t>
        </is>
      </c>
      <c r="D280" s="6" t="inlineStr">
        <is>
          <t>500ml Container Ravi</t>
        </is>
      </c>
      <c r="E280" s="6" t="inlineStr">
        <is>
          <t>PCS</t>
        </is>
      </c>
      <c r="F280" s="6" t="inlineStr">
        <is>
          <t>Carton</t>
        </is>
      </c>
      <c r="G280" s="7" t="n">
        <v>250</v>
      </c>
      <c r="H280" s="8" t="n">
        <v>19</v>
      </c>
      <c r="I280" s="9">
        <f>IF(G280="","",G280*H280)</f>
        <v/>
      </c>
      <c r="J280" s="8" t="n">
        <v>0</v>
      </c>
      <c r="K280" s="5">
        <f>IF(G280="","",IF(F280="","","1 "&amp;F280&amp;" = "&amp;TEXT(G280,"#,##0")&amp;" "&amp;E280))</f>
        <v/>
      </c>
      <c r="L280" s="5" t="n"/>
    </row>
    <row r="281">
      <c r="A281" s="5" t="n">
        <v>2280</v>
      </c>
      <c r="B281" s="6" t="inlineStr">
        <is>
          <t>Food Container</t>
        </is>
      </c>
      <c r="C281" s="6" t="inlineStr">
        <is>
          <t>Ravi</t>
        </is>
      </c>
      <c r="D281" s="6" t="inlineStr">
        <is>
          <t>750ml Container Ravi</t>
        </is>
      </c>
      <c r="E281" s="6" t="inlineStr">
        <is>
          <t>PCS</t>
        </is>
      </c>
      <c r="F281" s="6" t="inlineStr">
        <is>
          <t>Carton</t>
        </is>
      </c>
      <c r="G281" s="7" t="n">
        <v>250</v>
      </c>
      <c r="H281" s="8" t="n">
        <v>20</v>
      </c>
      <c r="I281" s="9">
        <f>IF(G281="","",G281*H281)</f>
        <v/>
      </c>
      <c r="J281" s="8" t="n">
        <v>0</v>
      </c>
      <c r="K281" s="5">
        <f>IF(G281="","",IF(F281="","","1 "&amp;F281&amp;" = "&amp;TEXT(G281,"#,##0")&amp;" "&amp;E281))</f>
        <v/>
      </c>
      <c r="L281" s="5" t="n"/>
    </row>
    <row r="282">
      <c r="A282" s="5" t="n">
        <v>2281</v>
      </c>
      <c r="B282" s="6" t="inlineStr">
        <is>
          <t>Food Container</t>
        </is>
      </c>
      <c r="C282" s="6" t="inlineStr">
        <is>
          <t>Ravi</t>
        </is>
      </c>
      <c r="D282" s="6" t="inlineStr">
        <is>
          <t>1000ml Container Ravi</t>
        </is>
      </c>
      <c r="E282" s="6" t="inlineStr">
        <is>
          <t>PCS</t>
        </is>
      </c>
      <c r="F282" s="6" t="inlineStr">
        <is>
          <t>Carton</t>
        </is>
      </c>
      <c r="G282" s="7" t="n">
        <v>250</v>
      </c>
      <c r="H282" s="8" t="n">
        <v>21</v>
      </c>
      <c r="I282" s="9">
        <f>IF(G282="","",G282*H282)</f>
        <v/>
      </c>
      <c r="J282" s="8" t="n">
        <v>0</v>
      </c>
      <c r="K282" s="5">
        <f>IF(G282="","",IF(F282="","","1 "&amp;F282&amp;" = "&amp;TEXT(G282,"#,##0")&amp;" "&amp;E282))</f>
        <v/>
      </c>
      <c r="L282" s="5" t="n"/>
    </row>
    <row r="283">
      <c r="A283" s="5" t="n">
        <v>2282</v>
      </c>
      <c r="B283" s="6" t="inlineStr">
        <is>
          <t>Food Container</t>
        </is>
      </c>
      <c r="C283" s="6" t="inlineStr">
        <is>
          <t>Ravi</t>
        </is>
      </c>
      <c r="D283" s="6" t="inlineStr">
        <is>
          <t>R-14 Container Ravi</t>
        </is>
      </c>
      <c r="E283" s="6" t="inlineStr">
        <is>
          <t>PCS</t>
        </is>
      </c>
      <c r="F283" s="6" t="inlineStr">
        <is>
          <t>Carton</t>
        </is>
      </c>
      <c r="G283" s="7" t="n">
        <v>500</v>
      </c>
      <c r="H283" s="8" t="n">
        <v>14</v>
      </c>
      <c r="I283" s="9">
        <f>IF(G283="","",G283*H283)</f>
        <v/>
      </c>
      <c r="J283" s="8" t="n">
        <v>0</v>
      </c>
      <c r="K283" s="5">
        <f>IF(G283="","",IF(F283="","","1 "&amp;F283&amp;" = "&amp;TEXT(G283,"#,##0")&amp;" "&amp;E283))</f>
        <v/>
      </c>
      <c r="L283" s="5" t="n"/>
    </row>
    <row r="284">
      <c r="A284" s="5" t="n">
        <v>2283</v>
      </c>
      <c r="B284" s="6" t="inlineStr">
        <is>
          <t>Food Container</t>
        </is>
      </c>
      <c r="C284" s="6" t="inlineStr">
        <is>
          <t>Ravi</t>
        </is>
      </c>
      <c r="D284" s="6" t="inlineStr">
        <is>
          <t>R-10 Container Ravi</t>
        </is>
      </c>
      <c r="E284" s="6" t="inlineStr">
        <is>
          <t>PCS</t>
        </is>
      </c>
      <c r="F284" s="6" t="inlineStr">
        <is>
          <t>Carton</t>
        </is>
      </c>
      <c r="G284" s="7" t="n">
        <v>500</v>
      </c>
      <c r="H284" s="8" t="n">
        <v>15</v>
      </c>
      <c r="I284" s="9">
        <f>IF(G284="","",G284*H284)</f>
        <v/>
      </c>
      <c r="J284" s="8" t="n">
        <v>0</v>
      </c>
      <c r="K284" s="5">
        <f>IF(G284="","",IF(F284="","","1 "&amp;F284&amp;" = "&amp;TEXT(G284,"#,##0")&amp;" "&amp;E284))</f>
        <v/>
      </c>
      <c r="L284" s="5" t="n"/>
    </row>
    <row r="285">
      <c r="A285" s="5" t="n">
        <v>2284</v>
      </c>
      <c r="B285" s="6" t="inlineStr">
        <is>
          <t>Food Container</t>
        </is>
      </c>
      <c r="C285" s="6" t="inlineStr">
        <is>
          <t>Ravi</t>
        </is>
      </c>
      <c r="D285" s="6" t="inlineStr">
        <is>
          <t>R-16 Container Ravi</t>
        </is>
      </c>
      <c r="E285" s="6" t="inlineStr">
        <is>
          <t>PCS</t>
        </is>
      </c>
      <c r="F285" s="6" t="inlineStr">
        <is>
          <t>Carton</t>
        </is>
      </c>
      <c r="G285" s="7" t="n">
        <v>500</v>
      </c>
      <c r="H285" s="8" t="n">
        <v>16</v>
      </c>
      <c r="I285" s="9">
        <f>IF(G285="","",G285*H285)</f>
        <v/>
      </c>
      <c r="J285" s="8" t="n">
        <v>0</v>
      </c>
      <c r="K285" s="5">
        <f>IF(G285="","",IF(F285="","","1 "&amp;F285&amp;" = "&amp;TEXT(G285,"#,##0")&amp;" "&amp;E285))</f>
        <v/>
      </c>
      <c r="L285" s="5" t="n"/>
    </row>
    <row r="286">
      <c r="A286" s="5" t="n">
        <v>2285</v>
      </c>
      <c r="B286" s="6" t="inlineStr">
        <is>
          <t>Food Container</t>
        </is>
      </c>
      <c r="C286" s="6" t="inlineStr">
        <is>
          <t>Ravi</t>
        </is>
      </c>
      <c r="D286" s="6" t="inlineStr">
        <is>
          <t>R-14 Black Container Ravi</t>
        </is>
      </c>
      <c r="E286" s="6" t="inlineStr">
        <is>
          <t>PCS</t>
        </is>
      </c>
      <c r="F286" s="6" t="inlineStr">
        <is>
          <t>Carton</t>
        </is>
      </c>
      <c r="G286" s="7" t="n">
        <v>500</v>
      </c>
      <c r="H286" s="8" t="n">
        <v>14</v>
      </c>
      <c r="I286" s="9">
        <f>IF(G286="","",G286*H286)</f>
        <v/>
      </c>
      <c r="J286" s="8" t="n">
        <v>0</v>
      </c>
      <c r="K286" s="5">
        <f>IF(G286="","",IF(F286="","","1 "&amp;F286&amp;" = "&amp;TEXT(G286,"#,##0")&amp;" "&amp;E286))</f>
        <v/>
      </c>
      <c r="L286" s="5" t="n"/>
    </row>
    <row r="287">
      <c r="A287" s="5" t="n">
        <v>2286</v>
      </c>
      <c r="B287" s="6" t="inlineStr">
        <is>
          <t>Food Container</t>
        </is>
      </c>
      <c r="C287" s="6" t="inlineStr">
        <is>
          <t>Ravi</t>
        </is>
      </c>
      <c r="D287" s="6" t="inlineStr">
        <is>
          <t>R-10 Black Container Ravi</t>
        </is>
      </c>
      <c r="E287" s="6" t="inlineStr">
        <is>
          <t>PCS</t>
        </is>
      </c>
      <c r="F287" s="6" t="inlineStr">
        <is>
          <t>Carton</t>
        </is>
      </c>
      <c r="G287" s="7" t="n">
        <v>500</v>
      </c>
      <c r="H287" s="8" t="n">
        <v>15</v>
      </c>
      <c r="I287" s="9">
        <f>IF(G287="","",G287*H287)</f>
        <v/>
      </c>
      <c r="J287" s="8" t="n">
        <v>0</v>
      </c>
      <c r="K287" s="5">
        <f>IF(G287="","",IF(F287="","","1 "&amp;F287&amp;" = "&amp;TEXT(G287,"#,##0")&amp;" "&amp;E287))</f>
        <v/>
      </c>
      <c r="L287" s="5" t="n"/>
    </row>
    <row r="288">
      <c r="A288" s="5" t="n">
        <v>2287</v>
      </c>
      <c r="B288" s="6" t="inlineStr">
        <is>
          <t>Food Container</t>
        </is>
      </c>
      <c r="C288" s="6" t="inlineStr">
        <is>
          <t>Ravi</t>
        </is>
      </c>
      <c r="D288" s="6" t="inlineStr">
        <is>
          <t>R-16 Black Container Ravi</t>
        </is>
      </c>
      <c r="E288" s="6" t="inlineStr">
        <is>
          <t>PCS</t>
        </is>
      </c>
      <c r="F288" s="6" t="inlineStr">
        <is>
          <t>Carton</t>
        </is>
      </c>
      <c r="G288" s="7" t="n">
        <v>500</v>
      </c>
      <c r="H288" s="8" t="n">
        <v>16</v>
      </c>
      <c r="I288" s="9">
        <f>IF(G288="","",G288*H288)</f>
        <v/>
      </c>
      <c r="J288" s="8" t="n">
        <v>0</v>
      </c>
      <c r="K288" s="5">
        <f>IF(G288="","",IF(F288="","","1 "&amp;F288&amp;" = "&amp;TEXT(G288,"#,##0")&amp;" "&amp;E288))</f>
        <v/>
      </c>
      <c r="L288" s="5" t="n"/>
    </row>
    <row r="289">
      <c r="A289" s="5" t="n">
        <v>2288</v>
      </c>
      <c r="B289" s="6" t="inlineStr">
        <is>
          <t>Food Container</t>
        </is>
      </c>
      <c r="C289" s="6" t="inlineStr">
        <is>
          <t>Ravi</t>
        </is>
      </c>
      <c r="D289" s="6" t="inlineStr">
        <is>
          <t>500ml Black Container Ravi</t>
        </is>
      </c>
      <c r="E289" s="6" t="inlineStr">
        <is>
          <t>PCS</t>
        </is>
      </c>
      <c r="F289" s="6" t="inlineStr">
        <is>
          <t>Carton</t>
        </is>
      </c>
      <c r="G289" s="7" t="n">
        <v>250</v>
      </c>
      <c r="H289" s="8" t="n">
        <v>19</v>
      </c>
      <c r="I289" s="9">
        <f>IF(G289="","",G289*H289)</f>
        <v/>
      </c>
      <c r="J289" s="8" t="n">
        <v>0</v>
      </c>
      <c r="K289" s="5">
        <f>IF(G289="","",IF(F289="","","1 "&amp;F289&amp;" = "&amp;TEXT(G289,"#,##0")&amp;" "&amp;E289))</f>
        <v/>
      </c>
      <c r="L289" s="5" t="n"/>
    </row>
    <row r="290">
      <c r="A290" s="5" t="n">
        <v>2289</v>
      </c>
      <c r="B290" s="6" t="inlineStr">
        <is>
          <t>Food Container</t>
        </is>
      </c>
      <c r="C290" s="6" t="inlineStr">
        <is>
          <t>Ravi</t>
        </is>
      </c>
      <c r="D290" s="6" t="inlineStr">
        <is>
          <t>750ml Black Container Ravi</t>
        </is>
      </c>
      <c r="E290" s="6" t="inlineStr">
        <is>
          <t>PCS</t>
        </is>
      </c>
      <c r="F290" s="6" t="inlineStr">
        <is>
          <t>Carton</t>
        </is>
      </c>
      <c r="G290" s="7" t="n">
        <v>250</v>
      </c>
      <c r="H290" s="8" t="n">
        <v>20</v>
      </c>
      <c r="I290" s="9">
        <f>IF(G290="","",G290*H290)</f>
        <v/>
      </c>
      <c r="J290" s="8" t="n">
        <v>0</v>
      </c>
      <c r="K290" s="5">
        <f>IF(G290="","",IF(F290="","","1 "&amp;F290&amp;" = "&amp;TEXT(G290,"#,##0")&amp;" "&amp;E290))</f>
        <v/>
      </c>
      <c r="L290" s="5" t="n"/>
    </row>
    <row r="291">
      <c r="A291" s="5" t="n">
        <v>2290</v>
      </c>
      <c r="B291" s="6" t="inlineStr">
        <is>
          <t>Food Container</t>
        </is>
      </c>
      <c r="C291" s="6" t="inlineStr">
        <is>
          <t>Ravi</t>
        </is>
      </c>
      <c r="D291" s="6" t="inlineStr">
        <is>
          <t>1000ml Black Container Ravi</t>
        </is>
      </c>
      <c r="E291" s="6" t="inlineStr">
        <is>
          <t>PCS</t>
        </is>
      </c>
      <c r="F291" s="6" t="inlineStr">
        <is>
          <t>Carton</t>
        </is>
      </c>
      <c r="G291" s="7" t="n">
        <v>250</v>
      </c>
      <c r="H291" s="8" t="n">
        <v>21</v>
      </c>
      <c r="I291" s="9">
        <f>IF(G291="","",G291*H291)</f>
        <v/>
      </c>
      <c r="J291" s="8" t="n">
        <v>0</v>
      </c>
      <c r="K291" s="5">
        <f>IF(G291="","",IF(F291="","","1 "&amp;F291&amp;" = "&amp;TEXT(G291,"#,##0")&amp;" "&amp;E291))</f>
        <v/>
      </c>
      <c r="L291" s="5" t="n"/>
    </row>
    <row r="292">
      <c r="A292" s="5" t="n">
        <v>2291</v>
      </c>
      <c r="B292" s="6" t="inlineStr">
        <is>
          <t>Food Container</t>
        </is>
      </c>
      <c r="C292" s="6" t="inlineStr">
        <is>
          <t>H Pack</t>
        </is>
      </c>
      <c r="D292" s="6" t="inlineStr">
        <is>
          <t>1500ml Container H Pack</t>
        </is>
      </c>
      <c r="E292" s="6" t="inlineStr">
        <is>
          <t>PCS</t>
        </is>
      </c>
      <c r="F292" s="6" t="inlineStr">
        <is>
          <t>Carton</t>
        </is>
      </c>
      <c r="G292" s="7" t="n">
        <v>150</v>
      </c>
      <c r="H292" s="8" t="n">
        <v>30</v>
      </c>
      <c r="I292" s="9">
        <f>IF(G292="","",G292*H292)</f>
        <v/>
      </c>
      <c r="J292" s="8" t="n">
        <v>0</v>
      </c>
      <c r="K292" s="5">
        <f>IF(G292="","",IF(F292="","","1 "&amp;F292&amp;" = "&amp;TEXT(G292,"#,##0")&amp;" "&amp;E292))</f>
        <v/>
      </c>
      <c r="L292" s="5" t="n"/>
    </row>
    <row r="293">
      <c r="A293" s="5" t="n">
        <v>2292</v>
      </c>
      <c r="B293" s="6" t="inlineStr">
        <is>
          <t>Food Container</t>
        </is>
      </c>
      <c r="C293" s="6" t="inlineStr">
        <is>
          <t>H Pack</t>
        </is>
      </c>
      <c r="D293" s="6" t="inlineStr">
        <is>
          <t>2000ml Container H Pack</t>
        </is>
      </c>
      <c r="E293" s="6" t="inlineStr">
        <is>
          <t>PCS</t>
        </is>
      </c>
      <c r="F293" s="6" t="inlineStr">
        <is>
          <t>Carton</t>
        </is>
      </c>
      <c r="G293" s="7" t="n">
        <v>150</v>
      </c>
      <c r="H293" s="8" t="n">
        <v>45</v>
      </c>
      <c r="I293" s="9">
        <f>IF(G293="","",G293*H293)</f>
        <v/>
      </c>
      <c r="J293" s="8" t="n">
        <v>0</v>
      </c>
      <c r="K293" s="5">
        <f>IF(G293="","",IF(F293="","","1 "&amp;F293&amp;" = "&amp;TEXT(G293,"#,##0")&amp;" "&amp;E293))</f>
        <v/>
      </c>
      <c r="L293" s="5" t="n"/>
    </row>
    <row r="294">
      <c r="A294" s="5" t="n">
        <v>2293</v>
      </c>
      <c r="B294" s="6" t="inlineStr">
        <is>
          <t>Food Container</t>
        </is>
      </c>
      <c r="C294" s="6" t="inlineStr">
        <is>
          <t>H Pack</t>
        </is>
      </c>
      <c r="D294" s="6" t="inlineStr">
        <is>
          <t>3000ml Container H Pack</t>
        </is>
      </c>
      <c r="E294" s="6" t="inlineStr">
        <is>
          <t>PCS</t>
        </is>
      </c>
      <c r="F294" s="6" t="inlineStr">
        <is>
          <t>Carton</t>
        </is>
      </c>
      <c r="G294" s="7" t="n">
        <v>150</v>
      </c>
      <c r="H294" s="8" t="n">
        <v>55</v>
      </c>
      <c r="I294" s="9">
        <f>IF(G294="","",G294*H294)</f>
        <v/>
      </c>
      <c r="J294" s="8" t="n">
        <v>0</v>
      </c>
      <c r="K294" s="5">
        <f>IF(G294="","",IF(F294="","","1 "&amp;F294&amp;" = "&amp;TEXT(G294,"#,##0")&amp;" "&amp;E294))</f>
        <v/>
      </c>
      <c r="L294" s="5" t="n"/>
    </row>
    <row r="295">
      <c r="A295" s="5" t="n">
        <v>2294</v>
      </c>
      <c r="B295" s="6" t="inlineStr">
        <is>
          <t>Food Container</t>
        </is>
      </c>
      <c r="C295" s="6" t="inlineStr">
        <is>
          <t>Round Bowl</t>
        </is>
      </c>
      <c r="D295" s="6" t="inlineStr">
        <is>
          <t>Round Bowl 650ml</t>
        </is>
      </c>
      <c r="E295" s="6" t="inlineStr">
        <is>
          <t>PCS</t>
        </is>
      </c>
      <c r="F295" s="6" t="inlineStr">
        <is>
          <t>Carton</t>
        </is>
      </c>
      <c r="G295" s="7" t="n">
        <v>300</v>
      </c>
      <c r="H295" s="8" t="n">
        <v>26</v>
      </c>
      <c r="I295" s="9">
        <f>IF(G295="","",G295*H295)</f>
        <v/>
      </c>
      <c r="J295" s="8" t="n">
        <v>0</v>
      </c>
      <c r="K295" s="5">
        <f>IF(G295="","",IF(F295="","","1 "&amp;F295&amp;" = "&amp;TEXT(G295,"#,##0")&amp;" "&amp;E295))</f>
        <v/>
      </c>
      <c r="L295" s="5" t="n"/>
    </row>
    <row r="296">
      <c r="A296" s="5" t="n">
        <v>2295</v>
      </c>
      <c r="B296" s="6" t="inlineStr">
        <is>
          <t>Food Container</t>
        </is>
      </c>
      <c r="C296" s="6" t="inlineStr">
        <is>
          <t>Round Bowl</t>
        </is>
      </c>
      <c r="D296" s="6" t="inlineStr">
        <is>
          <t>Round Bowl 1000ml</t>
        </is>
      </c>
      <c r="E296" s="6" t="inlineStr">
        <is>
          <t>PCS</t>
        </is>
      </c>
      <c r="F296" s="6" t="inlineStr">
        <is>
          <t>Carton</t>
        </is>
      </c>
      <c r="G296" s="7" t="n">
        <v>300</v>
      </c>
      <c r="H296" s="8" t="n">
        <v>28</v>
      </c>
      <c r="I296" s="9">
        <f>IF(G296="","",G296*H296)</f>
        <v/>
      </c>
      <c r="J296" s="8" t="n">
        <v>0</v>
      </c>
      <c r="K296" s="5">
        <f>IF(G296="","",IF(F296="","","1 "&amp;F296&amp;" = "&amp;TEXT(G296,"#,##0")&amp;" "&amp;E296))</f>
        <v/>
      </c>
      <c r="L296" s="5" t="n"/>
    </row>
    <row r="297">
      <c r="A297" s="5" t="n">
        <v>2296</v>
      </c>
      <c r="B297" s="6" t="inlineStr">
        <is>
          <t>Spoon and Fork</t>
        </is>
      </c>
      <c r="C297" s="6" t="inlineStr">
        <is>
          <t>AP</t>
        </is>
      </c>
      <c r="D297" s="6" t="inlineStr">
        <is>
          <t>Spoon Milky AP</t>
        </is>
      </c>
      <c r="E297" s="6" t="inlineStr">
        <is>
          <t>Packet</t>
        </is>
      </c>
      <c r="F297" s="6" t="inlineStr">
        <is>
          <t>Carton</t>
        </is>
      </c>
      <c r="G297" s="7" t="n">
        <v>30</v>
      </c>
      <c r="H297" s="8" t="n">
        <v>160</v>
      </c>
      <c r="I297" s="9">
        <f>IF(G297="","",G297*H297)</f>
        <v/>
      </c>
      <c r="J297" s="8" t="n">
        <v>0</v>
      </c>
      <c r="K297" s="5">
        <f>IF(G297="","",IF(F297="","","1 "&amp;F297&amp;" = "&amp;TEXT(G297,"#,##0")&amp;" "&amp;E297))</f>
        <v/>
      </c>
      <c r="L297" s="5" t="n"/>
    </row>
    <row r="298">
      <c r="A298" s="5" t="n">
        <v>2297</v>
      </c>
      <c r="B298" s="6" t="inlineStr">
        <is>
          <t>Spoon and Fork</t>
        </is>
      </c>
      <c r="C298" s="6" t="inlineStr">
        <is>
          <t>AP</t>
        </is>
      </c>
      <c r="D298" s="6" t="inlineStr">
        <is>
          <t>Spoon Crystal AP</t>
        </is>
      </c>
      <c r="E298" s="6" t="inlineStr">
        <is>
          <t>Packet</t>
        </is>
      </c>
      <c r="F298" s="6" t="inlineStr">
        <is>
          <t>Carton</t>
        </is>
      </c>
      <c r="G298" s="7" t="n">
        <v>30</v>
      </c>
      <c r="H298" s="8" t="n">
        <v>150</v>
      </c>
      <c r="I298" s="9">
        <f>IF(G298="","",G298*H298)</f>
        <v/>
      </c>
      <c r="J298" s="8" t="n">
        <v>0</v>
      </c>
      <c r="K298" s="5">
        <f>IF(G298="","",IF(F298="","","1 "&amp;F298&amp;" = "&amp;TEXT(G298,"#,##0")&amp;" "&amp;E298))</f>
        <v/>
      </c>
      <c r="L298" s="5" t="n"/>
    </row>
    <row r="299">
      <c r="A299" s="5" t="n">
        <v>2298</v>
      </c>
      <c r="B299" s="6" t="inlineStr">
        <is>
          <t>Spoon and Fork</t>
        </is>
      </c>
      <c r="C299" s="6" t="inlineStr">
        <is>
          <t>AP</t>
        </is>
      </c>
      <c r="D299" s="6" t="inlineStr">
        <is>
          <t>Fork Milky AP</t>
        </is>
      </c>
      <c r="E299" s="6" t="inlineStr">
        <is>
          <t>Packet</t>
        </is>
      </c>
      <c r="F299" s="6" t="inlineStr">
        <is>
          <t>Carton</t>
        </is>
      </c>
      <c r="G299" s="7" t="n">
        <v>50</v>
      </c>
      <c r="H299" s="8" t="n">
        <v>140</v>
      </c>
      <c r="I299" s="9">
        <f>IF(G299="","",G299*H299)</f>
        <v/>
      </c>
      <c r="J299" s="8" t="n">
        <v>0</v>
      </c>
      <c r="K299" s="5">
        <f>IF(G299="","",IF(F299="","","1 "&amp;F299&amp;" = "&amp;TEXT(G299,"#,##0")&amp;" "&amp;E299))</f>
        <v/>
      </c>
      <c r="L299" s="5" t="n"/>
    </row>
    <row r="300">
      <c r="A300" s="5" t="n">
        <v>2299</v>
      </c>
      <c r="B300" s="6" t="inlineStr">
        <is>
          <t>Spoon and Fork</t>
        </is>
      </c>
      <c r="C300" s="6" t="inlineStr">
        <is>
          <t>AP</t>
        </is>
      </c>
      <c r="D300" s="6" t="inlineStr">
        <is>
          <t>Fork Black AP</t>
        </is>
      </c>
      <c r="E300" s="6" t="inlineStr">
        <is>
          <t>Packet</t>
        </is>
      </c>
      <c r="F300" s="6" t="inlineStr">
        <is>
          <t>Carton</t>
        </is>
      </c>
      <c r="G300" s="7" t="n">
        <v>50</v>
      </c>
      <c r="H300" s="8" t="n">
        <v>140</v>
      </c>
      <c r="I300" s="9">
        <f>IF(G300="","",G300*H300)</f>
        <v/>
      </c>
      <c r="J300" s="8" t="n">
        <v>0</v>
      </c>
      <c r="K300" s="5">
        <f>IF(G300="","",IF(F300="","","1 "&amp;F300&amp;" = "&amp;TEXT(G300,"#,##0")&amp;" "&amp;E300))</f>
        <v/>
      </c>
      <c r="L300" s="5" t="n"/>
    </row>
    <row r="301">
      <c r="A301" s="5" t="n">
        <v>2300</v>
      </c>
      <c r="B301" s="6" t="inlineStr">
        <is>
          <t>Spoon and Fork</t>
        </is>
      </c>
      <c r="C301" s="6" t="inlineStr">
        <is>
          <t>AP</t>
        </is>
      </c>
      <c r="D301" s="6" t="inlineStr">
        <is>
          <t>Knife AP</t>
        </is>
      </c>
      <c r="E301" s="6" t="inlineStr">
        <is>
          <t>Packet</t>
        </is>
      </c>
      <c r="F301" s="6" t="inlineStr">
        <is>
          <t>Carton</t>
        </is>
      </c>
      <c r="G301" s="7" t="n">
        <v>50</v>
      </c>
      <c r="H301" s="8" t="n">
        <v>140</v>
      </c>
      <c r="I301" s="9">
        <f>IF(G301="","",G301*H301)</f>
        <v/>
      </c>
      <c r="J301" s="8" t="n">
        <v>0</v>
      </c>
      <c r="K301" s="5">
        <f>IF(G301="","",IF(F301="","","1 "&amp;F301&amp;" = "&amp;TEXT(G301,"#,##0")&amp;" "&amp;E301))</f>
        <v/>
      </c>
      <c r="L301" s="5" t="n"/>
    </row>
    <row r="302">
      <c r="A302" s="5" t="n">
        <v>2301</v>
      </c>
      <c r="B302" s="6" t="inlineStr">
        <is>
          <t>Spoon and Fork</t>
        </is>
      </c>
      <c r="C302" s="6" t="inlineStr">
        <is>
          <t>AP</t>
        </is>
      </c>
      <c r="D302" s="6" t="inlineStr">
        <is>
          <t>Knife Black AP</t>
        </is>
      </c>
      <c r="E302" s="6" t="inlineStr">
        <is>
          <t>Packet</t>
        </is>
      </c>
      <c r="F302" s="6" t="inlineStr">
        <is>
          <t>Carton</t>
        </is>
      </c>
      <c r="G302" s="7" t="n">
        <v>50</v>
      </c>
      <c r="H302" s="8" t="n">
        <v>140</v>
      </c>
      <c r="I302" s="9">
        <f>IF(G302="","",G302*H302)</f>
        <v/>
      </c>
      <c r="J302" s="8" t="n">
        <v>0</v>
      </c>
      <c r="K302" s="5">
        <f>IF(G302="","",IF(F302="","","1 "&amp;F302&amp;" = "&amp;TEXT(G302,"#,##0")&amp;" "&amp;E302))</f>
        <v/>
      </c>
      <c r="L302" s="5" t="n"/>
    </row>
    <row r="303">
      <c r="A303" s="5" t="n">
        <v>2302</v>
      </c>
      <c r="B303" s="6" t="inlineStr">
        <is>
          <t>Spoon and Fork</t>
        </is>
      </c>
      <c r="C303" s="6" t="inlineStr">
        <is>
          <t>AP</t>
        </is>
      </c>
      <c r="D303" s="6" t="inlineStr">
        <is>
          <t>Cut Spoon AP</t>
        </is>
      </c>
      <c r="E303" s="6" t="inlineStr">
        <is>
          <t>Packet</t>
        </is>
      </c>
      <c r="F303" s="6" t="inlineStr">
        <is>
          <t>Carton</t>
        </is>
      </c>
      <c r="G303" s="7" t="n">
        <v>90</v>
      </c>
      <c r="H303" s="8" t="n">
        <v>130</v>
      </c>
      <c r="I303" s="9">
        <f>IF(G303="","",G303*H303)</f>
        <v/>
      </c>
      <c r="J303" s="8" t="n">
        <v>0</v>
      </c>
      <c r="K303" s="5">
        <f>IF(G303="","",IF(F303="","","1 "&amp;F303&amp;" = "&amp;TEXT(G303,"#,##0")&amp;" "&amp;E303))</f>
        <v/>
      </c>
      <c r="L303" s="5" t="n"/>
    </row>
    <row r="304">
      <c r="A304" s="5" t="n">
        <v>2303</v>
      </c>
      <c r="B304" s="6" t="inlineStr">
        <is>
          <t>Spoon and Fork</t>
        </is>
      </c>
      <c r="C304" s="6" t="inlineStr">
        <is>
          <t>AP</t>
        </is>
      </c>
      <c r="D304" s="6" t="inlineStr">
        <is>
          <t>Tea Spoon AP</t>
        </is>
      </c>
      <c r="E304" s="6" t="inlineStr">
        <is>
          <t>Packet</t>
        </is>
      </c>
      <c r="F304" s="6" t="inlineStr">
        <is>
          <t>Carton</t>
        </is>
      </c>
      <c r="G304" s="7" t="n">
        <v>90</v>
      </c>
      <c r="H304" s="8" t="n">
        <v>130</v>
      </c>
      <c r="I304" s="9">
        <f>IF(G304="","",G304*H304)</f>
        <v/>
      </c>
      <c r="J304" s="8" t="n">
        <v>0</v>
      </c>
      <c r="K304" s="5">
        <f>IF(G304="","",IF(F304="","","1 "&amp;F304&amp;" = "&amp;TEXT(G304,"#,##0")&amp;" "&amp;E304))</f>
        <v/>
      </c>
      <c r="L304" s="5" t="n"/>
    </row>
    <row r="305">
      <c r="A305" s="5" t="n">
        <v>2304</v>
      </c>
      <c r="B305" s="6" t="inlineStr">
        <is>
          <t>Spoon and Fork</t>
        </is>
      </c>
      <c r="C305" s="6" t="inlineStr">
        <is>
          <t>X-Pak</t>
        </is>
      </c>
      <c r="D305" s="6" t="inlineStr">
        <is>
          <t>Spoon Milky X-Pak</t>
        </is>
      </c>
      <c r="E305" s="6" t="inlineStr">
        <is>
          <t>Packet</t>
        </is>
      </c>
      <c r="F305" s="6" t="inlineStr">
        <is>
          <t>Carton</t>
        </is>
      </c>
      <c r="G305" s="7" t="n">
        <v>60</v>
      </c>
      <c r="H305" s="8" t="n">
        <v>160</v>
      </c>
      <c r="I305" s="9">
        <f>IF(G305="","",G305*H305)</f>
        <v/>
      </c>
      <c r="J305" s="8" t="n">
        <v>0</v>
      </c>
      <c r="K305" s="5">
        <f>IF(G305="","",IF(F305="","","1 "&amp;F305&amp;" = "&amp;TEXT(G305,"#,##0")&amp;" "&amp;E305))</f>
        <v/>
      </c>
      <c r="L305" s="5" t="n"/>
    </row>
    <row r="306">
      <c r="A306" s="5" t="n">
        <v>2305</v>
      </c>
      <c r="B306" s="6" t="inlineStr">
        <is>
          <t>Spoon and Fork</t>
        </is>
      </c>
      <c r="C306" s="6" t="inlineStr">
        <is>
          <t>X-Pak</t>
        </is>
      </c>
      <c r="D306" s="6" t="inlineStr">
        <is>
          <t>Spoon Crystal X-Pak</t>
        </is>
      </c>
      <c r="E306" s="6" t="inlineStr">
        <is>
          <t>Packet</t>
        </is>
      </c>
      <c r="F306" s="6" t="inlineStr">
        <is>
          <t>Carton</t>
        </is>
      </c>
      <c r="G306" s="7" t="n">
        <v>60</v>
      </c>
      <c r="H306" s="8" t="n">
        <v>150</v>
      </c>
      <c r="I306" s="9">
        <f>IF(G306="","",G306*H306)</f>
        <v/>
      </c>
      <c r="J306" s="8" t="n">
        <v>0</v>
      </c>
      <c r="K306" s="5">
        <f>IF(G306="","",IF(F306="","","1 "&amp;F306&amp;" = "&amp;TEXT(G306,"#,##0")&amp;" "&amp;E306))</f>
        <v/>
      </c>
      <c r="L306" s="5" t="n"/>
    </row>
    <row r="307">
      <c r="A307" s="5" t="n">
        <v>2306</v>
      </c>
      <c r="B307" s="6" t="inlineStr">
        <is>
          <t>Spoon and Fork</t>
        </is>
      </c>
      <c r="C307" s="6" t="inlineStr">
        <is>
          <t>X-Pak</t>
        </is>
      </c>
      <c r="D307" s="6" t="inlineStr">
        <is>
          <t>Fork Milky X-Pak</t>
        </is>
      </c>
      <c r="E307" s="6" t="inlineStr">
        <is>
          <t>Packet</t>
        </is>
      </c>
      <c r="F307" s="6" t="inlineStr">
        <is>
          <t>Carton</t>
        </is>
      </c>
      <c r="G307" s="7" t="n">
        <v>60</v>
      </c>
      <c r="H307" s="8" t="n">
        <v>140</v>
      </c>
      <c r="I307" s="9">
        <f>IF(G307="","",G307*H307)</f>
        <v/>
      </c>
      <c r="J307" s="8" t="n">
        <v>0</v>
      </c>
      <c r="K307" s="5">
        <f>IF(G307="","",IF(F307="","","1 "&amp;F307&amp;" = "&amp;TEXT(G307,"#,##0")&amp;" "&amp;E307))</f>
        <v/>
      </c>
      <c r="L307" s="5" t="n"/>
    </row>
    <row r="308">
      <c r="A308" s="5" t="n">
        <v>2307</v>
      </c>
      <c r="B308" s="6" t="inlineStr">
        <is>
          <t>Spoon and Fork</t>
        </is>
      </c>
      <c r="C308" s="6" t="inlineStr">
        <is>
          <t>X-Pak</t>
        </is>
      </c>
      <c r="D308" s="6" t="inlineStr">
        <is>
          <t>Fork Black X-Pak</t>
        </is>
      </c>
      <c r="E308" s="6" t="inlineStr">
        <is>
          <t>Packet</t>
        </is>
      </c>
      <c r="F308" s="6" t="inlineStr">
        <is>
          <t>Carton</t>
        </is>
      </c>
      <c r="G308" s="7" t="n">
        <v>60</v>
      </c>
      <c r="H308" s="8" t="n">
        <v>140</v>
      </c>
      <c r="I308" s="9">
        <f>IF(G308="","",G308*H308)</f>
        <v/>
      </c>
      <c r="J308" s="8" t="n">
        <v>0</v>
      </c>
      <c r="K308" s="5">
        <f>IF(G308="","",IF(F308="","","1 "&amp;F308&amp;" = "&amp;TEXT(G308,"#,##0")&amp;" "&amp;E308))</f>
        <v/>
      </c>
      <c r="L308" s="5" t="n"/>
    </row>
    <row r="309">
      <c r="A309" s="5" t="n">
        <v>2308</v>
      </c>
      <c r="B309" s="6" t="inlineStr">
        <is>
          <t>Spoon and Fork</t>
        </is>
      </c>
      <c r="C309" s="6" t="inlineStr">
        <is>
          <t>X-Pak</t>
        </is>
      </c>
      <c r="D309" s="6" t="inlineStr">
        <is>
          <t>Cut Spoon X-Pak</t>
        </is>
      </c>
      <c r="E309" s="6" t="inlineStr">
        <is>
          <t>Packet</t>
        </is>
      </c>
      <c r="F309" s="6" t="inlineStr">
        <is>
          <t>Carton</t>
        </is>
      </c>
      <c r="G309" s="7" t="n">
        <v>60</v>
      </c>
      <c r="H309" s="8" t="n">
        <v>130</v>
      </c>
      <c r="I309" s="9">
        <f>IF(G309="","",G309*H309)</f>
        <v/>
      </c>
      <c r="J309" s="8" t="n">
        <v>0</v>
      </c>
      <c r="K309" s="5">
        <f>IF(G309="","",IF(F309="","","1 "&amp;F309&amp;" = "&amp;TEXT(G309,"#,##0")&amp;" "&amp;E309))</f>
        <v/>
      </c>
      <c r="L309" s="5" t="n"/>
    </row>
    <row r="310">
      <c r="A310" s="5" t="n">
        <v>2309</v>
      </c>
      <c r="B310" s="6" t="inlineStr">
        <is>
          <t>Spoon and Fork</t>
        </is>
      </c>
      <c r="C310" s="6" t="inlineStr">
        <is>
          <t>Local</t>
        </is>
      </c>
      <c r="D310" s="6" t="inlineStr">
        <is>
          <t>Spoon Crystal Local Ctn 30</t>
        </is>
      </c>
      <c r="E310" s="6" t="inlineStr">
        <is>
          <t>Packet</t>
        </is>
      </c>
      <c r="F310" s="6" t="inlineStr">
        <is>
          <t>Carton</t>
        </is>
      </c>
      <c r="G310" s="7" t="n">
        <v>30</v>
      </c>
      <c r="H310" s="8" t="n">
        <v>110</v>
      </c>
      <c r="I310" s="9">
        <f>IF(G310="","",G310*H310)</f>
        <v/>
      </c>
      <c r="J310" s="8" t="n">
        <v>0</v>
      </c>
      <c r="K310" s="5">
        <f>IF(G310="","",IF(F310="","","1 "&amp;F310&amp;" = "&amp;TEXT(G310,"#,##0")&amp;" "&amp;E310))</f>
        <v/>
      </c>
      <c r="L310" s="5" t="inlineStr">
        <is>
          <t>PDF me "Spoon Crystal" 2 baar (30 aur 90 packet carton) - alag rakhe</t>
        </is>
      </c>
    </row>
    <row r="311">
      <c r="A311" s="5" t="n">
        <v>2310</v>
      </c>
      <c r="B311" s="6" t="inlineStr">
        <is>
          <t>Spoon and Fork</t>
        </is>
      </c>
      <c r="C311" s="6" t="inlineStr">
        <is>
          <t>Local</t>
        </is>
      </c>
      <c r="D311" s="6" t="inlineStr">
        <is>
          <t>Spoon Crystal Local Ctn 90</t>
        </is>
      </c>
      <c r="E311" s="6" t="inlineStr">
        <is>
          <t>Packet</t>
        </is>
      </c>
      <c r="F311" s="6" t="inlineStr">
        <is>
          <t>Carton</t>
        </is>
      </c>
      <c r="G311" s="7" t="n">
        <v>90</v>
      </c>
      <c r="H311" s="8" t="n">
        <v>110</v>
      </c>
      <c r="I311" s="9">
        <f>IF(G311="","",G311*H311)</f>
        <v/>
      </c>
      <c r="J311" s="8" t="n">
        <v>0</v>
      </c>
      <c r="K311" s="5">
        <f>IF(G311="","",IF(F311="","","1 "&amp;F311&amp;" = "&amp;TEXT(G311,"#,##0")&amp;" "&amp;E311))</f>
        <v/>
      </c>
      <c r="L311" s="5" t="inlineStr">
        <is>
          <t>PDF me "Spoon Crystal" 2 baar (30 aur 90 packet carton) - alag rakhe</t>
        </is>
      </c>
    </row>
    <row r="312">
      <c r="A312" s="5" t="n">
        <v>2311</v>
      </c>
      <c r="B312" s="6" t="inlineStr">
        <is>
          <t>Spoon and Fork</t>
        </is>
      </c>
      <c r="C312" s="6" t="inlineStr">
        <is>
          <t>Local</t>
        </is>
      </c>
      <c r="D312" s="6" t="inlineStr">
        <is>
          <t>Cut Cream Local</t>
        </is>
      </c>
      <c r="E312" s="6" t="inlineStr">
        <is>
          <t>Packet</t>
        </is>
      </c>
      <c r="F312" s="6" t="inlineStr">
        <is>
          <t>Carton</t>
        </is>
      </c>
      <c r="G312" s="7" t="n">
        <v>100</v>
      </c>
      <c r="H312" s="8" t="n">
        <v>60</v>
      </c>
      <c r="I312" s="9">
        <f>IF(G312="","",G312*H312)</f>
        <v/>
      </c>
      <c r="J312" s="8" t="n">
        <v>0</v>
      </c>
      <c r="K312" s="5">
        <f>IF(G312="","",IF(F312="","","1 "&amp;F312&amp;" = "&amp;TEXT(G312,"#,##0")&amp;" "&amp;E312))</f>
        <v/>
      </c>
      <c r="L312" s="5" t="n"/>
    </row>
    <row r="313">
      <c r="A313" s="5" t="n">
        <v>2312</v>
      </c>
      <c r="B313" s="6" t="inlineStr">
        <is>
          <t>Spoon and Fork</t>
        </is>
      </c>
      <c r="C313" s="6" t="inlineStr">
        <is>
          <t>Local</t>
        </is>
      </c>
      <c r="D313" s="6" t="inlineStr">
        <is>
          <t>Cut Color Local</t>
        </is>
      </c>
      <c r="E313" s="6" t="inlineStr">
        <is>
          <t>Packet</t>
        </is>
      </c>
      <c r="F313" s="6" t="inlineStr">
        <is>
          <t>Carton</t>
        </is>
      </c>
      <c r="G313" s="7" t="n">
        <v>100</v>
      </c>
      <c r="H313" s="8" t="n">
        <v>75</v>
      </c>
      <c r="I313" s="9">
        <f>IF(G313="","",G313*H313)</f>
        <v/>
      </c>
      <c r="J313" s="8" t="n">
        <v>0</v>
      </c>
      <c r="K313" s="5">
        <f>IF(G313="","",IF(F313="","","1 "&amp;F313&amp;" = "&amp;TEXT(G313,"#,##0")&amp;" "&amp;E313))</f>
        <v/>
      </c>
      <c r="L313" s="5" t="n"/>
    </row>
    <row r="314">
      <c r="A314" s="5" t="n">
        <v>2313</v>
      </c>
      <c r="B314" s="6" t="inlineStr">
        <is>
          <t>Spoon and Fork</t>
        </is>
      </c>
      <c r="C314" s="6" t="inlineStr">
        <is>
          <t>Local</t>
        </is>
      </c>
      <c r="D314" s="6" t="inlineStr">
        <is>
          <t>Fork Black Local</t>
        </is>
      </c>
      <c r="E314" s="6" t="inlineStr">
        <is>
          <t>Packet</t>
        </is>
      </c>
      <c r="F314" s="6" t="inlineStr">
        <is>
          <t>Carton</t>
        </is>
      </c>
      <c r="G314" s="7" t="n">
        <v>50</v>
      </c>
      <c r="H314" s="8" t="n">
        <v>140</v>
      </c>
      <c r="I314" s="9">
        <f>IF(G314="","",G314*H314)</f>
        <v/>
      </c>
      <c r="J314" s="8" t="n">
        <v>0</v>
      </c>
      <c r="K314" s="5">
        <f>IF(G314="","",IF(F314="","","1 "&amp;F314&amp;" = "&amp;TEXT(G314,"#,##0")&amp;" "&amp;E314))</f>
        <v/>
      </c>
      <c r="L314" s="5" t="n"/>
    </row>
    <row r="315">
      <c r="A315" s="5" t="n">
        <v>2314</v>
      </c>
      <c r="B315" s="6" t="inlineStr">
        <is>
          <t>Spoon and Fork</t>
        </is>
      </c>
      <c r="C315" s="6" t="inlineStr">
        <is>
          <t>Local</t>
        </is>
      </c>
      <c r="D315" s="6" t="inlineStr">
        <is>
          <t>Tea Spoon Local</t>
        </is>
      </c>
      <c r="E315" s="6" t="inlineStr">
        <is>
          <t>Packet</t>
        </is>
      </c>
      <c r="F315" s="6" t="inlineStr">
        <is>
          <t>Carton</t>
        </is>
      </c>
      <c r="G315" s="7" t="n">
        <v>120</v>
      </c>
      <c r="H315" s="8" t="n">
        <v>75</v>
      </c>
      <c r="I315" s="9">
        <f>IF(G315="","",G315*H315)</f>
        <v/>
      </c>
      <c r="J315" s="8" t="n">
        <v>0</v>
      </c>
      <c r="K315" s="5">
        <f>IF(G315="","",IF(F315="","","1 "&amp;F315&amp;" = "&amp;TEXT(G315,"#,##0")&amp;" "&amp;E315))</f>
        <v/>
      </c>
      <c r="L315" s="5" t="n"/>
    </row>
    <row r="316">
      <c r="A316" s="5" t="n">
        <v>2315</v>
      </c>
      <c r="B316" s="6" t="inlineStr">
        <is>
          <t>Spoon and Fork</t>
        </is>
      </c>
      <c r="C316" s="6" t="inlineStr">
        <is>
          <t>Local</t>
        </is>
      </c>
      <c r="D316" s="6" t="inlineStr">
        <is>
          <t>Gola Spoon Local</t>
        </is>
      </c>
      <c r="E316" s="6" t="inlineStr">
        <is>
          <t>Packet</t>
        </is>
      </c>
      <c r="F316" s="6" t="inlineStr">
        <is>
          <t>Carton</t>
        </is>
      </c>
      <c r="G316" s="7" t="n">
        <v>50</v>
      </c>
      <c r="H316" s="8" t="n">
        <v>45</v>
      </c>
      <c r="I316" s="9">
        <f>IF(G316="","",G316*H316)</f>
        <v/>
      </c>
      <c r="J316" s="8" t="n">
        <v>0</v>
      </c>
      <c r="K316" s="5">
        <f>IF(G316="","",IF(F316="","","1 "&amp;F316&amp;" = "&amp;TEXT(G316,"#,##0")&amp;" "&amp;E316))</f>
        <v/>
      </c>
      <c r="L316" s="5" t="n"/>
    </row>
    <row r="317">
      <c r="A317" s="5" t="n">
        <v>2316</v>
      </c>
      <c r="B317" s="6" t="inlineStr">
        <is>
          <t>Spoon and Fork</t>
        </is>
      </c>
      <c r="C317" s="6" t="inlineStr">
        <is>
          <t>Local</t>
        </is>
      </c>
      <c r="D317" s="6" t="inlineStr">
        <is>
          <t>Soup Spoon Local</t>
        </is>
      </c>
      <c r="E317" s="6" t="inlineStr">
        <is>
          <t>Packet</t>
        </is>
      </c>
      <c r="F317" s="6" t="inlineStr">
        <is>
          <t>Carton</t>
        </is>
      </c>
      <c r="G317" s="7" t="n">
        <v>25</v>
      </c>
      <c r="H317" s="8" t="n">
        <v>230</v>
      </c>
      <c r="I317" s="9">
        <f>IF(G317="","",G317*H317)</f>
        <v/>
      </c>
      <c r="J317" s="8" t="n">
        <v>0</v>
      </c>
      <c r="K317" s="5">
        <f>IF(G317="","",IF(F317="","","1 "&amp;F317&amp;" = "&amp;TEXT(G317,"#,##0")&amp;" "&amp;E317))</f>
        <v/>
      </c>
      <c r="L317" s="5" t="n"/>
    </row>
    <row r="318">
      <c r="A318" s="5" t="n">
        <v>2317</v>
      </c>
      <c r="B318" s="6" t="inlineStr">
        <is>
          <t>Spoon and Fork</t>
        </is>
      </c>
      <c r="C318" s="6" t="inlineStr">
        <is>
          <t>Local</t>
        </is>
      </c>
      <c r="D318" s="6" t="inlineStr">
        <is>
          <t>Bara Star Spoon Black Local</t>
        </is>
      </c>
      <c r="E318" s="6" t="inlineStr">
        <is>
          <t>Packet</t>
        </is>
      </c>
      <c r="F318" s="6" t="inlineStr">
        <is>
          <t>Carton</t>
        </is>
      </c>
      <c r="G318" s="7" t="n">
        <v>50</v>
      </c>
      <c r="H318" s="8" t="n">
        <v>170</v>
      </c>
      <c r="I318" s="9">
        <f>IF(G318="","",G318*H318)</f>
        <v/>
      </c>
      <c r="J318" s="8" t="n">
        <v>0</v>
      </c>
      <c r="K318" s="5">
        <f>IF(G318="","",IF(F318="","","1 "&amp;F318&amp;" = "&amp;TEXT(G318,"#,##0")&amp;" "&amp;E318))</f>
        <v/>
      </c>
      <c r="L318" s="5" t="n"/>
    </row>
    <row r="319">
      <c r="A319" s="5" t="n">
        <v>2318</v>
      </c>
      <c r="B319" s="6" t="inlineStr">
        <is>
          <t>Spoon and Fork</t>
        </is>
      </c>
      <c r="C319" s="6" t="inlineStr">
        <is>
          <t>Local</t>
        </is>
      </c>
      <c r="D319" s="6" t="inlineStr">
        <is>
          <t>Bara Star Spoon Local</t>
        </is>
      </c>
      <c r="E319" s="6" t="inlineStr">
        <is>
          <t>Packet</t>
        </is>
      </c>
      <c r="F319" s="6" t="inlineStr">
        <is>
          <t>Carton</t>
        </is>
      </c>
      <c r="G319" s="7" t="n">
        <v>50</v>
      </c>
      <c r="H319" s="8" t="n">
        <v>170</v>
      </c>
      <c r="I319" s="9">
        <f>IF(G319="","",G319*H319)</f>
        <v/>
      </c>
      <c r="J319" s="8" t="n">
        <v>0</v>
      </c>
      <c r="K319" s="5">
        <f>IF(G319="","",IF(F319="","","1 "&amp;F319&amp;" = "&amp;TEXT(G319,"#,##0")&amp;" "&amp;E319))</f>
        <v/>
      </c>
      <c r="L319" s="5" t="n"/>
    </row>
    <row r="320">
      <c r="A320" s="5" t="n">
        <v>2319</v>
      </c>
      <c r="B320" s="6" t="inlineStr">
        <is>
          <t>Spoon and Fork</t>
        </is>
      </c>
      <c r="C320" s="6" t="inlineStr">
        <is>
          <t>Spoon AR</t>
        </is>
      </c>
      <c r="D320" s="6" t="inlineStr">
        <is>
          <t>Star Spoon AR</t>
        </is>
      </c>
      <c r="E320" s="6" t="inlineStr">
        <is>
          <t>Packet</t>
        </is>
      </c>
      <c r="F320" s="6" t="inlineStr">
        <is>
          <t>Carton</t>
        </is>
      </c>
      <c r="G320" s="7" t="n">
        <v>30</v>
      </c>
      <c r="H320" s="8" t="n">
        <v>160</v>
      </c>
      <c r="I320" s="9">
        <f>IF(G320="","",G320*H320)</f>
        <v/>
      </c>
      <c r="J320" s="8" t="n">
        <v>0</v>
      </c>
      <c r="K320" s="5">
        <f>IF(G320="","",IF(F320="","","1 "&amp;F320&amp;" = "&amp;TEXT(G320,"#,##0")&amp;" "&amp;E320))</f>
        <v/>
      </c>
      <c r="L320" s="5" t="n"/>
    </row>
    <row r="321">
      <c r="A321" s="5" t="n">
        <v>2320</v>
      </c>
      <c r="B321" s="6" t="inlineStr">
        <is>
          <t>Spoon and Fork</t>
        </is>
      </c>
      <c r="C321" s="6" t="inlineStr">
        <is>
          <t>Spoon AR</t>
        </is>
      </c>
      <c r="D321" s="6" t="inlineStr">
        <is>
          <t>Spoon Milky AR</t>
        </is>
      </c>
      <c r="E321" s="6" t="inlineStr">
        <is>
          <t>Packet</t>
        </is>
      </c>
      <c r="F321" s="6" t="inlineStr">
        <is>
          <t>Carton</t>
        </is>
      </c>
      <c r="G321" s="7" t="n">
        <v>30</v>
      </c>
      <c r="H321" s="8" t="n">
        <v>140</v>
      </c>
      <c r="I321" s="9">
        <f>IF(G321="","",G321*H321)</f>
        <v/>
      </c>
      <c r="J321" s="8" t="n">
        <v>0</v>
      </c>
      <c r="K321" s="5">
        <f>IF(G321="","",IF(F321="","","1 "&amp;F321&amp;" = "&amp;TEXT(G321,"#,##0")&amp;" "&amp;E321))</f>
        <v/>
      </c>
      <c r="L321" s="5" t="n"/>
    </row>
    <row r="322">
      <c r="A322" s="5" t="n">
        <v>2321</v>
      </c>
      <c r="B322" s="6" t="inlineStr">
        <is>
          <t>Spoon and Fork</t>
        </is>
      </c>
      <c r="C322" s="6" t="inlineStr">
        <is>
          <t>Spoon AR</t>
        </is>
      </c>
      <c r="D322" s="6" t="inlineStr">
        <is>
          <t>Spoon Black AR</t>
        </is>
      </c>
      <c r="E322" s="6" t="inlineStr">
        <is>
          <t>Packet</t>
        </is>
      </c>
      <c r="F322" s="6" t="inlineStr">
        <is>
          <t>Carton</t>
        </is>
      </c>
      <c r="G322" s="7" t="n">
        <v>30</v>
      </c>
      <c r="H322" s="8" t="n">
        <v>140</v>
      </c>
      <c r="I322" s="9">
        <f>IF(G322="","",G322*H322)</f>
        <v/>
      </c>
      <c r="J322" s="8" t="n">
        <v>0</v>
      </c>
      <c r="K322" s="5">
        <f>IF(G322="","",IF(F322="","","1 "&amp;F322&amp;" = "&amp;TEXT(G322,"#,##0")&amp;" "&amp;E322))</f>
        <v/>
      </c>
      <c r="L322" s="5" t="n"/>
    </row>
    <row r="323">
      <c r="A323" s="5" t="n">
        <v>2322</v>
      </c>
      <c r="B323" s="6" t="inlineStr">
        <is>
          <t>Gloves</t>
        </is>
      </c>
      <c r="C323" s="6" t="inlineStr">
        <is>
          <t>Gloves</t>
        </is>
      </c>
      <c r="D323" s="6" t="inlineStr">
        <is>
          <t>Black Gloves</t>
        </is>
      </c>
      <c r="E323" s="6" t="inlineStr">
        <is>
          <t>PCS</t>
        </is>
      </c>
      <c r="F323" s="6" t="inlineStr">
        <is>
          <t>Carton</t>
        </is>
      </c>
      <c r="G323" s="7" t="n">
        <v>200</v>
      </c>
      <c r="H323" s="8" t="n">
        <v>45</v>
      </c>
      <c r="I323" s="9">
        <f>IF(G323="","",G323*H323)</f>
        <v/>
      </c>
      <c r="J323" s="8" t="n">
        <v>0</v>
      </c>
      <c r="K323" s="5">
        <f>IF(G323="","",IF(F323="","","1 "&amp;F323&amp;" = "&amp;TEXT(G323,"#,##0")&amp;" "&amp;E323))</f>
        <v/>
      </c>
      <c r="L323" s="10" t="inlineStr">
        <is>
          <t>Check: carton "200 pcs" - 45 per pcs ya per packet?</t>
        </is>
      </c>
    </row>
    <row r="324">
      <c r="A324" s="5" t="n">
        <v>2323</v>
      </c>
      <c r="B324" s="6" t="inlineStr">
        <is>
          <t>Gloves</t>
        </is>
      </c>
      <c r="C324" s="6" t="inlineStr">
        <is>
          <t>Gloves</t>
        </is>
      </c>
      <c r="D324" s="6" t="inlineStr">
        <is>
          <t>Plastic Gloves</t>
        </is>
      </c>
      <c r="E324" s="6" t="inlineStr">
        <is>
          <t>Box</t>
        </is>
      </c>
      <c r="F324" s="6" t="inlineStr">
        <is>
          <t>Carton</t>
        </is>
      </c>
      <c r="G324" s="7" t="n">
        <v>10</v>
      </c>
      <c r="H324" s="8" t="n">
        <v>800</v>
      </c>
      <c r="I324" s="9">
        <f>IF(G324="","",G324*H324)</f>
        <v/>
      </c>
      <c r="J324" s="8" t="n">
        <v>0</v>
      </c>
      <c r="K324" s="5">
        <f>IF(G324="","",IF(F324="","","1 "&amp;F324&amp;" = "&amp;TEXT(G324,"#,##0")&amp;" "&amp;E324))</f>
        <v/>
      </c>
      <c r="L324" s="5" t="inlineStr">
        <is>
          <t>Carton: 10 boxes, price per box</t>
        </is>
      </c>
    </row>
    <row r="325">
      <c r="A325" s="5" t="n">
        <v>2324</v>
      </c>
      <c r="B325" s="6" t="inlineStr">
        <is>
          <t>Gloves</t>
        </is>
      </c>
      <c r="C325" s="6" t="inlineStr">
        <is>
          <t>Hair Net</t>
        </is>
      </c>
      <c r="D325" s="6" t="inlineStr">
        <is>
          <t>Hair Net Black</t>
        </is>
      </c>
      <c r="E325" s="6" t="inlineStr">
        <is>
          <t>Packet</t>
        </is>
      </c>
      <c r="F325" s="6" t="inlineStr">
        <is>
          <t>Carton</t>
        </is>
      </c>
      <c r="G325" s="7" t="n">
        <v>60</v>
      </c>
      <c r="H325" s="8" t="n">
        <v>150</v>
      </c>
      <c r="I325" s="9">
        <f>IF(G325="","",G325*H325)</f>
        <v/>
      </c>
      <c r="J325" s="8" t="n">
        <v>0</v>
      </c>
      <c r="K325" s="5">
        <f>IF(G325="","",IF(F325="","","1 "&amp;F325&amp;" = "&amp;TEXT(G325,"#,##0")&amp;" "&amp;E325))</f>
        <v/>
      </c>
      <c r="L325" s="10" t="inlineStr">
        <is>
          <t>Check: price per packet?</t>
        </is>
      </c>
    </row>
    <row r="326">
      <c r="A326" s="5" t="n">
        <v>2325</v>
      </c>
      <c r="B326" s="6" t="inlineStr">
        <is>
          <t>Gloves</t>
        </is>
      </c>
      <c r="C326" s="6" t="inlineStr">
        <is>
          <t>Hair Net</t>
        </is>
      </c>
      <c r="D326" s="6" t="inlineStr">
        <is>
          <t>Hair Net Green</t>
        </is>
      </c>
      <c r="E326" s="6" t="inlineStr">
        <is>
          <t>Packet</t>
        </is>
      </c>
      <c r="F326" s="6" t="inlineStr">
        <is>
          <t>Carton</t>
        </is>
      </c>
      <c r="G326" s="7" t="n">
        <v>60</v>
      </c>
      <c r="H326" s="8" t="n">
        <v>150</v>
      </c>
      <c r="I326" s="9">
        <f>IF(G326="","",G326*H326)</f>
        <v/>
      </c>
      <c r="J326" s="8" t="n">
        <v>0</v>
      </c>
      <c r="K326" s="5">
        <f>IF(G326="","",IF(F326="","","1 "&amp;F326&amp;" = "&amp;TEXT(G326,"#,##0")&amp;" "&amp;E326))</f>
        <v/>
      </c>
      <c r="L326" s="10" t="inlineStr">
        <is>
          <t>Check: price per packet?</t>
        </is>
      </c>
    </row>
    <row r="327">
      <c r="A327" s="5" t="n">
        <v>2326</v>
      </c>
      <c r="B327" s="6" t="inlineStr">
        <is>
          <t>Gloves</t>
        </is>
      </c>
      <c r="C327" s="6" t="inlineStr">
        <is>
          <t>Hair Net</t>
        </is>
      </c>
      <c r="D327" s="6" t="inlineStr">
        <is>
          <t>Plate Cap</t>
        </is>
      </c>
      <c r="E327" s="6" t="inlineStr">
        <is>
          <t>Packet</t>
        </is>
      </c>
      <c r="F327" s="6" t="inlineStr">
        <is>
          <t>Carton</t>
        </is>
      </c>
      <c r="G327" s="7" t="n">
        <v>100</v>
      </c>
      <c r="H327" s="8" t="n">
        <v>150</v>
      </c>
      <c r="I327" s="9">
        <f>IF(G327="","",G327*H327)</f>
        <v/>
      </c>
      <c r="J327" s="8" t="n">
        <v>0</v>
      </c>
      <c r="K327" s="5">
        <f>IF(G327="","",IF(F327="","","1 "&amp;F327&amp;" = "&amp;TEXT(G327,"#,##0")&amp;" "&amp;E327))</f>
        <v/>
      </c>
      <c r="L327" s="10" t="inlineStr">
        <is>
          <t>Check: price per packet?</t>
        </is>
      </c>
    </row>
    <row r="328">
      <c r="A328" s="5" t="n">
        <v>2327</v>
      </c>
      <c r="B328" s="6" t="inlineStr">
        <is>
          <t>BBQ Stick</t>
        </is>
      </c>
      <c r="C328" s="6" t="inlineStr">
        <is>
          <t>BBQ Stick</t>
        </is>
      </c>
      <c r="D328" s="6" t="inlineStr">
        <is>
          <t>BBQ Stick 6 Inch</t>
        </is>
      </c>
      <c r="E328" s="6" t="inlineStr">
        <is>
          <t>Packet</t>
        </is>
      </c>
      <c r="F328" s="6" t="inlineStr">
        <is>
          <t>Carton</t>
        </is>
      </c>
      <c r="G328" s="7" t="n">
        <v>240</v>
      </c>
      <c r="H328" s="8" t="n">
        <v>30</v>
      </c>
      <c r="I328" s="9">
        <f>IF(G328="","",G328*H328)</f>
        <v/>
      </c>
      <c r="J328" s="8" t="n">
        <v>0</v>
      </c>
      <c r="K328" s="5">
        <f>IF(G328="","",IF(F328="","","1 "&amp;F328&amp;" = "&amp;TEXT(G328,"#,##0")&amp;" "&amp;E328))</f>
        <v/>
      </c>
      <c r="L328" s="5" t="inlineStr">
        <is>
          <t>Carton: 240 packets</t>
        </is>
      </c>
    </row>
    <row r="329">
      <c r="A329" s="5" t="n">
        <v>2328</v>
      </c>
      <c r="B329" s="6" t="inlineStr">
        <is>
          <t>BBQ Stick</t>
        </is>
      </c>
      <c r="C329" s="6" t="inlineStr">
        <is>
          <t>BBQ Stick</t>
        </is>
      </c>
      <c r="D329" s="6" t="inlineStr">
        <is>
          <t>BBQ Stick 8 Inch</t>
        </is>
      </c>
      <c r="E329" s="6" t="inlineStr">
        <is>
          <t>Packet</t>
        </is>
      </c>
      <c r="F329" s="6" t="inlineStr">
        <is>
          <t>Carton</t>
        </is>
      </c>
      <c r="G329" s="7" t="n">
        <v>300</v>
      </c>
      <c r="H329" s="8" t="n">
        <v>40</v>
      </c>
      <c r="I329" s="9">
        <f>IF(G329="","",G329*H329)</f>
        <v/>
      </c>
      <c r="J329" s="8" t="n">
        <v>0</v>
      </c>
      <c r="K329" s="5">
        <f>IF(G329="","",IF(F329="","","1 "&amp;F329&amp;" = "&amp;TEXT(G329,"#,##0")&amp;" "&amp;E329))</f>
        <v/>
      </c>
      <c r="L329" s="5" t="inlineStr">
        <is>
          <t>Carton: 300 packets</t>
        </is>
      </c>
    </row>
    <row r="330">
      <c r="A330" s="5" t="n">
        <v>2329</v>
      </c>
      <c r="B330" s="6" t="inlineStr">
        <is>
          <t>BBQ Stick</t>
        </is>
      </c>
      <c r="C330" s="6" t="inlineStr">
        <is>
          <t>BBQ Stick</t>
        </is>
      </c>
      <c r="D330" s="6" t="inlineStr">
        <is>
          <t>BBQ Stick 14 Inch</t>
        </is>
      </c>
      <c r="E330" s="6" t="inlineStr">
        <is>
          <t>Packet</t>
        </is>
      </c>
      <c r="F330" s="6" t="inlineStr">
        <is>
          <t>Carton</t>
        </is>
      </c>
      <c r="G330" s="7" t="n">
        <v>100</v>
      </c>
      <c r="H330" s="8" t="n">
        <v>120</v>
      </c>
      <c r="I330" s="9">
        <f>IF(G330="","",G330*H330)</f>
        <v/>
      </c>
      <c r="J330" s="8" t="n">
        <v>0</v>
      </c>
      <c r="K330" s="5">
        <f>IF(G330="","",IF(F330="","","1 "&amp;F330&amp;" = "&amp;TEXT(G330,"#,##0")&amp;" "&amp;E330))</f>
        <v/>
      </c>
      <c r="L330" s="5" t="inlineStr">
        <is>
          <t>Carton: 100 packets</t>
        </is>
      </c>
    </row>
    <row r="331">
      <c r="A331" s="5" t="n">
        <v>2330</v>
      </c>
      <c r="B331" s="6" t="inlineStr">
        <is>
          <t>Tissue</t>
        </is>
      </c>
      <c r="C331" s="6" t="inlineStr">
        <is>
          <t>Tissue</t>
        </is>
      </c>
      <c r="D331" s="6" t="inlineStr">
        <is>
          <t>Rose Petal Tissue Pink</t>
        </is>
      </c>
      <c r="E331" s="6" t="inlineStr">
        <is>
          <t>Packet</t>
        </is>
      </c>
      <c r="F331" s="6" t="inlineStr">
        <is>
          <t>Carton</t>
        </is>
      </c>
      <c r="G331" s="7" t="n">
        <v>30</v>
      </c>
      <c r="H331" s="8" t="n">
        <v>220</v>
      </c>
      <c r="I331" s="9">
        <f>IF(G331="","",G331*H331)</f>
        <v/>
      </c>
      <c r="J331" s="8" t="n">
        <v>0</v>
      </c>
      <c r="K331" s="5">
        <f>IF(G331="","",IF(F331="","","1 "&amp;F331&amp;" = "&amp;TEXT(G331,"#,##0")&amp;" "&amp;E331))</f>
        <v/>
      </c>
      <c r="L331" s="5" t="n"/>
    </row>
    <row r="332">
      <c r="A332" s="5" t="n">
        <v>2331</v>
      </c>
      <c r="B332" s="6" t="inlineStr">
        <is>
          <t>Tissue</t>
        </is>
      </c>
      <c r="C332" s="6" t="inlineStr">
        <is>
          <t>Tissue</t>
        </is>
      </c>
      <c r="D332" s="6" t="inlineStr">
        <is>
          <t>Rose Petal Tissue White</t>
        </is>
      </c>
      <c r="E332" s="6" t="inlineStr">
        <is>
          <t>Packet</t>
        </is>
      </c>
      <c r="F332" s="6" t="inlineStr">
        <is>
          <t>Carton</t>
        </is>
      </c>
      <c r="G332" s="7" t="n">
        <v>30</v>
      </c>
      <c r="H332" s="8" t="n">
        <v>230</v>
      </c>
      <c r="I332" s="9">
        <f>IF(G332="","",G332*H332)</f>
        <v/>
      </c>
      <c r="J332" s="8" t="n">
        <v>0</v>
      </c>
      <c r="K332" s="5">
        <f>IF(G332="","",IF(F332="","","1 "&amp;F332&amp;" = "&amp;TEXT(G332,"#,##0")&amp;" "&amp;E332))</f>
        <v/>
      </c>
      <c r="L332" s="5" t="n"/>
    </row>
    <row r="333">
      <c r="A333" s="5" t="n">
        <v>2332</v>
      </c>
      <c r="B333" s="6" t="inlineStr">
        <is>
          <t>Tissue</t>
        </is>
      </c>
      <c r="C333" s="6" t="inlineStr">
        <is>
          <t>Tissue</t>
        </is>
      </c>
      <c r="D333" s="6" t="inlineStr">
        <is>
          <t>KG Tissue</t>
        </is>
      </c>
      <c r="E333" s="6" t="inlineStr">
        <is>
          <t>Packet</t>
        </is>
      </c>
      <c r="F333" s="6" t="inlineStr">
        <is>
          <t>Carton</t>
        </is>
      </c>
      <c r="G333" s="7" t="n">
        <v>12</v>
      </c>
      <c r="H333" s="8" t="n">
        <v>300</v>
      </c>
      <c r="I333" s="9">
        <f>IF(G333="","",G333*H333)</f>
        <v/>
      </c>
      <c r="J333" s="8" t="n">
        <v>0</v>
      </c>
      <c r="K333" s="5">
        <f>IF(G333="","",IF(F333="","","1 "&amp;F333&amp;" = "&amp;TEXT(G333,"#,##0")&amp;" "&amp;E333))</f>
        <v/>
      </c>
      <c r="L333" s="5" t="n"/>
    </row>
    <row r="334">
      <c r="A334" s="5" t="n">
        <v>2333</v>
      </c>
      <c r="B334" s="6" t="inlineStr">
        <is>
          <t>Tissue</t>
        </is>
      </c>
      <c r="C334" s="6" t="inlineStr">
        <is>
          <t>Tissue</t>
        </is>
      </c>
      <c r="D334" s="6" t="inlineStr">
        <is>
          <t>Napkin Tissue</t>
        </is>
      </c>
      <c r="E334" s="6" t="inlineStr">
        <is>
          <t>Packet</t>
        </is>
      </c>
      <c r="F334" s="6" t="inlineStr">
        <is>
          <t>Carton</t>
        </is>
      </c>
      <c r="G334" s="7" t="n">
        <v>80</v>
      </c>
      <c r="H334" s="8" t="n">
        <v>140</v>
      </c>
      <c r="I334" s="9">
        <f>IF(G334="","",G334*H334)</f>
        <v/>
      </c>
      <c r="J334" s="8" t="n">
        <v>0</v>
      </c>
      <c r="K334" s="5">
        <f>IF(G334="","",IF(F334="","","1 "&amp;F334&amp;" = "&amp;TEXT(G334,"#,##0")&amp;" "&amp;E334))</f>
        <v/>
      </c>
      <c r="L334" s="5" t="n"/>
    </row>
    <row r="335">
      <c r="A335" s="5" t="n">
        <v>2334</v>
      </c>
      <c r="B335" s="6" t="inlineStr">
        <is>
          <t>Straw</t>
        </is>
      </c>
      <c r="C335" s="6" t="inlineStr">
        <is>
          <t>Straw</t>
        </is>
      </c>
      <c r="D335" s="6" t="inlineStr">
        <is>
          <t>Faloda Straw</t>
        </is>
      </c>
      <c r="E335" s="6" t="inlineStr">
        <is>
          <t>Packet</t>
        </is>
      </c>
      <c r="F335" s="6" t="inlineStr">
        <is>
          <t>Carton</t>
        </is>
      </c>
      <c r="G335" s="7" t="n">
        <v>6</v>
      </c>
      <c r="H335" s="8" t="n">
        <v>300</v>
      </c>
      <c r="I335" s="9">
        <f>IF(G335="","",G335*H335)</f>
        <v/>
      </c>
      <c r="J335" s="8" t="n">
        <v>0</v>
      </c>
      <c r="K335" s="5">
        <f>IF(G335="","",IF(F335="","","1 "&amp;F335&amp;" = "&amp;TEXT(G335,"#,##0")&amp;" "&amp;E335))</f>
        <v/>
      </c>
      <c r="L335" s="5" t="n"/>
    </row>
    <row r="336">
      <c r="A336" s="5" t="n">
        <v>2335</v>
      </c>
      <c r="B336" s="6" t="inlineStr">
        <is>
          <t>Straw</t>
        </is>
      </c>
      <c r="C336" s="6" t="inlineStr">
        <is>
          <t>Straw</t>
        </is>
      </c>
      <c r="D336" s="6" t="inlineStr">
        <is>
          <t>Bottle Straw</t>
        </is>
      </c>
      <c r="E336" s="6" t="inlineStr">
        <is>
          <t>Packet</t>
        </is>
      </c>
      <c r="F336" s="6" t="inlineStr">
        <is>
          <t>Carton</t>
        </is>
      </c>
      <c r="G336" s="7" t="n">
        <v>6</v>
      </c>
      <c r="H336" s="8" t="n">
        <v>350</v>
      </c>
      <c r="I336" s="9">
        <f>IF(G336="","",G336*H336)</f>
        <v/>
      </c>
      <c r="J336" s="8" t="n">
        <v>0</v>
      </c>
      <c r="K336" s="5">
        <f>IF(G336="","",IF(F336="","","1 "&amp;F336&amp;" = "&amp;TEXT(G336,"#,##0")&amp;" "&amp;E336))</f>
        <v/>
      </c>
      <c r="L336" s="5" t="n"/>
    </row>
    <row r="337">
      <c r="A337" s="5" t="n">
        <v>2336</v>
      </c>
      <c r="B337" s="6" t="inlineStr">
        <is>
          <t>Straw</t>
        </is>
      </c>
      <c r="C337" s="6" t="inlineStr">
        <is>
          <t>Straw</t>
        </is>
      </c>
      <c r="D337" s="6" t="inlineStr">
        <is>
          <t>White Banded Straw</t>
        </is>
      </c>
      <c r="E337" s="6" t="inlineStr">
        <is>
          <t>Packet</t>
        </is>
      </c>
      <c r="F337" s="6" t="inlineStr">
        <is>
          <t>Carton</t>
        </is>
      </c>
      <c r="G337" s="7" t="n">
        <v>100</v>
      </c>
      <c r="H337" s="8" t="n">
        <v>50</v>
      </c>
      <c r="I337" s="9">
        <f>IF(G337="","",G337*H337)</f>
        <v/>
      </c>
      <c r="J337" s="8" t="n">
        <v>0</v>
      </c>
      <c r="K337" s="5">
        <f>IF(G337="","",IF(F337="","","1 "&amp;F337&amp;" = "&amp;TEXT(G337,"#,##0")&amp;" "&amp;E337))</f>
        <v/>
      </c>
      <c r="L337" s="5" t="n"/>
    </row>
    <row r="338">
      <c r="A338" s="5" t="n">
        <v>2337</v>
      </c>
      <c r="B338" s="6" t="inlineStr">
        <is>
          <t>Straw</t>
        </is>
      </c>
      <c r="C338" s="6" t="inlineStr">
        <is>
          <t>Straw</t>
        </is>
      </c>
      <c r="D338" s="6" t="inlineStr">
        <is>
          <t>Color Banded Straw</t>
        </is>
      </c>
      <c r="E338" s="6" t="inlineStr">
        <is>
          <t>Packet</t>
        </is>
      </c>
      <c r="F338" s="6" t="inlineStr">
        <is>
          <t>Carton</t>
        </is>
      </c>
      <c r="G338" s="7" t="n">
        <v>100</v>
      </c>
      <c r="H338" s="8" t="n">
        <v>50</v>
      </c>
      <c r="I338" s="9">
        <f>IF(G338="","",G338*H338)</f>
        <v/>
      </c>
      <c r="J338" s="8" t="n">
        <v>0</v>
      </c>
      <c r="K338" s="5">
        <f>IF(G338="","",IF(F338="","","1 "&amp;F338&amp;" = "&amp;TEXT(G338,"#,##0")&amp;" "&amp;E338))</f>
        <v/>
      </c>
      <c r="L338" s="5" t="n"/>
    </row>
    <row r="339">
      <c r="A339" s="5" t="n">
        <v>2338</v>
      </c>
      <c r="B339" s="6" t="inlineStr">
        <is>
          <t>Straw</t>
        </is>
      </c>
      <c r="C339" s="6" t="inlineStr">
        <is>
          <t>Straw</t>
        </is>
      </c>
      <c r="D339" s="6" t="inlineStr">
        <is>
          <t>Paper Straw</t>
        </is>
      </c>
      <c r="E339" s="6" t="inlineStr">
        <is>
          <t>Packet</t>
        </is>
      </c>
      <c r="F339" s="6" t="inlineStr">
        <is>
          <t>Carton</t>
        </is>
      </c>
      <c r="G339" s="7" t="n">
        <v>80</v>
      </c>
      <c r="H339" s="8" t="n">
        <v>100</v>
      </c>
      <c r="I339" s="9">
        <f>IF(G339="","",G339*H339)</f>
        <v/>
      </c>
      <c r="J339" s="8" t="n">
        <v>0</v>
      </c>
      <c r="K339" s="5">
        <f>IF(G339="","",IF(F339="","","1 "&amp;F339&amp;" = "&amp;TEXT(G339,"#,##0")&amp;" "&amp;E339))</f>
        <v/>
      </c>
      <c r="L339" s="5" t="n"/>
    </row>
    <row r="340">
      <c r="A340" s="5" t="n">
        <v>2339</v>
      </c>
      <c r="B340" s="6" t="inlineStr">
        <is>
          <t>Straw</t>
        </is>
      </c>
      <c r="C340" s="6" t="inlineStr">
        <is>
          <t>Straw</t>
        </is>
      </c>
      <c r="D340" s="6" t="inlineStr">
        <is>
          <t>Magic Straw</t>
        </is>
      </c>
      <c r="E340" s="6" t="inlineStr">
        <is>
          <t>Packet</t>
        </is>
      </c>
      <c r="F340" s="6" t="inlineStr">
        <is>
          <t>Carton</t>
        </is>
      </c>
      <c r="G340" s="7" t="n">
        <v>200</v>
      </c>
      <c r="H340" s="8" t="n">
        <v>85</v>
      </c>
      <c r="I340" s="9">
        <f>IF(G340="","",G340*H340)</f>
        <v/>
      </c>
      <c r="J340" s="8" t="n">
        <v>0</v>
      </c>
      <c r="K340" s="5">
        <f>IF(G340="","",IF(F340="","","1 "&amp;F340&amp;" = "&amp;TEXT(G340,"#,##0")&amp;" "&amp;E340))</f>
        <v/>
      </c>
      <c r="L340" s="5" t="n"/>
    </row>
    <row r="341">
      <c r="A341" s="5" t="n">
        <v>2340</v>
      </c>
      <c r="B341" s="6" t="inlineStr">
        <is>
          <t>Straw</t>
        </is>
      </c>
      <c r="C341" s="6" t="inlineStr">
        <is>
          <t>Straw</t>
        </is>
      </c>
      <c r="D341" s="6" t="inlineStr">
        <is>
          <t>Magic Straw 130 Packet</t>
        </is>
      </c>
      <c r="E341" s="6" t="inlineStr">
        <is>
          <t>Packet</t>
        </is>
      </c>
      <c r="F341" s="6" t="inlineStr">
        <is>
          <t>Carton</t>
        </is>
      </c>
      <c r="G341" s="7" t="n">
        <v>130</v>
      </c>
      <c r="H341" s="8" t="n">
        <v>85</v>
      </c>
      <c r="I341" s="9">
        <f>IF(G341="","",G341*H341)</f>
        <v/>
      </c>
      <c r="J341" s="8" t="n">
        <v>0</v>
      </c>
      <c r="K341" s="5">
        <f>IF(G341="","",IF(F341="","","1 "&amp;F341&amp;" = "&amp;TEXT(G341,"#,##0")&amp;" "&amp;E341))</f>
        <v/>
      </c>
      <c r="L341" s="5" t="n"/>
    </row>
    <row r="342">
      <c r="A342" s="5" t="n">
        <v>2341</v>
      </c>
      <c r="B342" s="6" t="inlineStr">
        <is>
          <t>Straw</t>
        </is>
      </c>
      <c r="C342" s="6" t="inlineStr">
        <is>
          <t>Straw</t>
        </is>
      </c>
      <c r="D342" s="6" t="inlineStr">
        <is>
          <t>Umbrella Straw</t>
        </is>
      </c>
      <c r="E342" s="6" t="inlineStr">
        <is>
          <t>Packet</t>
        </is>
      </c>
      <c r="F342" s="6" t="inlineStr">
        <is>
          <t>Carton</t>
        </is>
      </c>
      <c r="G342" s="7" t="n">
        <v>100</v>
      </c>
      <c r="H342" s="8" t="n">
        <v>350</v>
      </c>
      <c r="I342" s="9">
        <f>IF(G342="","",G342*H342)</f>
        <v/>
      </c>
      <c r="J342" s="8" t="n">
        <v>0</v>
      </c>
      <c r="K342" s="5">
        <f>IF(G342="","",IF(F342="","","1 "&amp;F342&amp;" = "&amp;TEXT(G342,"#,##0")&amp;" "&amp;E342))</f>
        <v/>
      </c>
      <c r="L342" s="5" t="n"/>
    </row>
    <row r="343">
      <c r="A343" s="5" t="n">
        <v>2342</v>
      </c>
      <c r="B343" s="6" t="inlineStr">
        <is>
          <t>Straw</t>
        </is>
      </c>
      <c r="C343" s="6" t="inlineStr">
        <is>
          <t>Limka Shopper</t>
        </is>
      </c>
      <c r="D343" s="6" t="inlineStr">
        <is>
          <t>Limka Shopper Single</t>
        </is>
      </c>
      <c r="E343" s="6" t="inlineStr">
        <is>
          <t>Packet</t>
        </is>
      </c>
      <c r="F343" s="6" t="inlineStr">
        <is>
          <t>Carton</t>
        </is>
      </c>
      <c r="G343" s="7" t="n">
        <v>20</v>
      </c>
      <c r="H343" s="8" t="n">
        <v>750</v>
      </c>
      <c r="I343" s="9">
        <f>IF(G343="","",G343*H343)</f>
        <v/>
      </c>
      <c r="J343" s="8" t="n">
        <v>0</v>
      </c>
      <c r="K343" s="5">
        <f>IF(G343="","",IF(F343="","","1 "&amp;F343&amp;" = "&amp;TEXT(G343,"#,##0")&amp;" "&amp;E343))</f>
        <v/>
      </c>
      <c r="L343" s="10" t="inlineStr">
        <is>
          <t>Check: unit packet ya KG?</t>
        </is>
      </c>
    </row>
    <row r="344">
      <c r="A344" s="5" t="n">
        <v>2343</v>
      </c>
      <c r="B344" s="6" t="inlineStr">
        <is>
          <t>Straw</t>
        </is>
      </c>
      <c r="C344" s="6" t="inlineStr">
        <is>
          <t>Limka Shopper</t>
        </is>
      </c>
      <c r="D344" s="6" t="inlineStr">
        <is>
          <t>Limka Shopper Double</t>
        </is>
      </c>
      <c r="E344" s="6" t="inlineStr">
        <is>
          <t>Packet</t>
        </is>
      </c>
      <c r="F344" s="6" t="inlineStr">
        <is>
          <t>Carton</t>
        </is>
      </c>
      <c r="G344" s="7" t="n">
        <v>20</v>
      </c>
      <c r="H344" s="8" t="n">
        <v>750</v>
      </c>
      <c r="I344" s="9">
        <f>IF(G344="","",G344*H344)</f>
        <v/>
      </c>
      <c r="J344" s="8" t="n">
        <v>0</v>
      </c>
      <c r="K344" s="5">
        <f>IF(G344="","",IF(F344="","","1 "&amp;F344&amp;" = "&amp;TEXT(G344,"#,##0")&amp;" "&amp;E344))</f>
        <v/>
      </c>
      <c r="L344" s="10" t="inlineStr">
        <is>
          <t>Check: unit packet ya KG?</t>
        </is>
      </c>
    </row>
    <row r="345">
      <c r="A345" s="5" t="n">
        <v>2344</v>
      </c>
      <c r="B345" s="6" t="inlineStr">
        <is>
          <t>Egg Tray</t>
        </is>
      </c>
      <c r="C345" s="6" t="inlineStr">
        <is>
          <t>Egg Tray</t>
        </is>
      </c>
      <c r="D345" s="6" t="inlineStr">
        <is>
          <t>Egg Tray 6pcs Thermopile</t>
        </is>
      </c>
      <c r="E345" s="6" t="inlineStr">
        <is>
          <t>bag</t>
        </is>
      </c>
      <c r="F345" s="6" t="n"/>
      <c r="G345" s="7" t="n"/>
      <c r="H345" s="8" t="n">
        <v>3900</v>
      </c>
      <c r="I345" s="9">
        <f>IF(G345="","",G345*H345)</f>
        <v/>
      </c>
      <c r="J345" s="8" t="n">
        <v>0</v>
      </c>
      <c r="K345" s="5">
        <f>IF(G345="","",IF(F345="","","1 "&amp;F345&amp;" = "&amp;TEXT(G345,"#,##0")&amp;" "&amp;E345))</f>
        <v/>
      </c>
      <c r="L345" s="5" t="inlineStr">
        <is>
          <t>Carton: "1 Bag" - bag me kitne pcs, nahi diya</t>
        </is>
      </c>
    </row>
    <row r="346">
      <c r="A346" s="5" t="n">
        <v>2345</v>
      </c>
      <c r="B346" s="6" t="inlineStr">
        <is>
          <t>Egg Tray</t>
        </is>
      </c>
      <c r="C346" s="6" t="inlineStr">
        <is>
          <t>Egg Tray</t>
        </is>
      </c>
      <c r="D346" s="6" t="inlineStr">
        <is>
          <t>Egg Tray 12pcs Thermopile</t>
        </is>
      </c>
      <c r="E346" s="6" t="inlineStr">
        <is>
          <t>bag</t>
        </is>
      </c>
      <c r="F346" s="6" t="n"/>
      <c r="G346" s="7" t="n"/>
      <c r="H346" s="8" t="n">
        <v>2000</v>
      </c>
      <c r="I346" s="9">
        <f>IF(G346="","",G346*H346)</f>
        <v/>
      </c>
      <c r="J346" s="8" t="n">
        <v>0</v>
      </c>
      <c r="K346" s="5">
        <f>IF(G346="","",IF(F346="","","1 "&amp;F346&amp;" = "&amp;TEXT(G346,"#,##0")&amp;" "&amp;E346))</f>
        <v/>
      </c>
      <c r="L346" s="10" t="inlineStr">
        <is>
          <t>Carton: "1 Bag"; Check: 12pcs ki price 6pcs se kam</t>
        </is>
      </c>
    </row>
    <row r="347">
      <c r="A347" s="5" t="n">
        <v>2346</v>
      </c>
      <c r="B347" s="6" t="inlineStr">
        <is>
          <t>Egg Tray</t>
        </is>
      </c>
      <c r="C347" s="6" t="inlineStr">
        <is>
          <t>Egg Tray</t>
        </is>
      </c>
      <c r="D347" s="6" t="inlineStr">
        <is>
          <t>Egg Tray 6pcs Plastic</t>
        </is>
      </c>
      <c r="E347" s="6" t="inlineStr">
        <is>
          <t>PCS</t>
        </is>
      </c>
      <c r="F347" s="6" t="inlineStr">
        <is>
          <t>Carton</t>
        </is>
      </c>
      <c r="G347" s="7" t="n">
        <v>1000</v>
      </c>
      <c r="H347" s="8" t="n">
        <v>20</v>
      </c>
      <c r="I347" s="9">
        <f>IF(G347="","",G347*H347)</f>
        <v/>
      </c>
      <c r="J347" s="8" t="n">
        <v>0</v>
      </c>
      <c r="K347" s="5">
        <f>IF(G347="","",IF(F347="","","1 "&amp;F347&amp;" = "&amp;TEXT(G347,"#,##0")&amp;" "&amp;E347))</f>
        <v/>
      </c>
      <c r="L347" s="5" t="n"/>
    </row>
    <row r="348">
      <c r="A348" s="5" t="n">
        <v>2347</v>
      </c>
      <c r="B348" s="6" t="inlineStr">
        <is>
          <t>Egg Tray</t>
        </is>
      </c>
      <c r="C348" s="6" t="inlineStr">
        <is>
          <t>Egg Tray</t>
        </is>
      </c>
      <c r="D348" s="6" t="inlineStr">
        <is>
          <t>Egg Tray 12pcs Plastic</t>
        </is>
      </c>
      <c r="E348" s="6" t="inlineStr">
        <is>
          <t>PCS</t>
        </is>
      </c>
      <c r="F348" s="6" t="inlineStr">
        <is>
          <t>Carton</t>
        </is>
      </c>
      <c r="G348" s="7" t="n">
        <v>1000</v>
      </c>
      <c r="H348" s="8" t="n">
        <v>20</v>
      </c>
      <c r="I348" s="9">
        <f>IF(G348="","",G348*H348)</f>
        <v/>
      </c>
      <c r="J348" s="8" t="n">
        <v>0</v>
      </c>
      <c r="K348" s="5">
        <f>IF(G348="","",IF(F348="","","1 "&amp;F348&amp;" = "&amp;TEXT(G348,"#,##0")&amp;" "&amp;E348))</f>
        <v/>
      </c>
      <c r="L348" s="5" t="n"/>
    </row>
    <row r="349">
      <c r="A349" s="5" t="n">
        <v>2348</v>
      </c>
      <c r="B349" s="6" t="inlineStr">
        <is>
          <t>Egg Tray</t>
        </is>
      </c>
      <c r="C349" s="6" t="inlineStr">
        <is>
          <t>Egg Tray</t>
        </is>
      </c>
      <c r="D349" s="6" t="inlineStr">
        <is>
          <t>Sandwich Box</t>
        </is>
      </c>
      <c r="E349" s="6" t="inlineStr">
        <is>
          <t>PCS</t>
        </is>
      </c>
      <c r="F349" s="6" t="inlineStr">
        <is>
          <t>Carton</t>
        </is>
      </c>
      <c r="G349" s="7" t="n">
        <v>800</v>
      </c>
      <c r="H349" s="8" t="n">
        <v>10</v>
      </c>
      <c r="I349" s="9">
        <f>IF(G349="","",G349*H349)</f>
        <v/>
      </c>
      <c r="J349" s="8" t="n">
        <v>0</v>
      </c>
      <c r="K349" s="5">
        <f>IF(G349="","",IF(F349="","","1 "&amp;F349&amp;" = "&amp;TEXT(G349,"#,##0")&amp;" "&amp;E349))</f>
        <v/>
      </c>
      <c r="L349" s="5" t="n"/>
    </row>
  </sheetData>
  <autoFilter ref="A1:L349"/>
  <dataValidations count="1">
    <dataValidation sqref="E2:E349" showDropDown="0" showInputMessage="0" showErrorMessage="0" allowBlank="0" type="list">
      <formula1>"PCS,Packet,Box,bag,Carton,KG,Dozen"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8" customWidth="1" min="4" max="4"/>
  </cols>
  <sheetData>
    <row r="1">
      <c r="A1" s="11" t="inlineStr">
        <is>
          <t>Department</t>
        </is>
      </c>
      <c r="B1" s="11" t="inlineStr">
        <is>
          <t>Sub Departments</t>
        </is>
      </c>
      <c r="C1" s="11" t="inlineStr">
        <is>
          <t>Products</t>
        </is>
      </c>
      <c r="D1" s="11" t="inlineStr">
        <is>
          <t>Items with Check</t>
        </is>
      </c>
    </row>
    <row r="2">
      <c r="A2" s="5" t="inlineStr">
        <is>
          <t>LP Series</t>
        </is>
      </c>
      <c r="B2" s="5" t="n">
        <v>1</v>
      </c>
      <c r="C2" s="5">
        <f>COUNTIF(Products!$B$2:$B$349,A2)</f>
        <v/>
      </c>
      <c r="D2" s="5">
        <f>COUNTIFS(Products!$B$2:$B$349,A2,Products!$L$2:$L$349,"*Check*")</f>
        <v/>
      </c>
    </row>
    <row r="3">
      <c r="A3" s="5" t="inlineStr">
        <is>
          <t>Thermopile Cups</t>
        </is>
      </c>
      <c r="B3" s="5" t="n">
        <v>1</v>
      </c>
      <c r="C3" s="5">
        <f>COUNTIF(Products!$B$2:$B$349,A3)</f>
        <v/>
      </c>
      <c r="D3" s="5">
        <f>COUNTIFS(Products!$B$2:$B$349,A3,Products!$L$2:$L$349,"*Check*")</f>
        <v/>
      </c>
    </row>
    <row r="4">
      <c r="A4" s="5" t="inlineStr">
        <is>
          <t>Paper Cups</t>
        </is>
      </c>
      <c r="B4" s="5" t="n">
        <v>5</v>
      </c>
      <c r="C4" s="5">
        <f>COUNTIF(Products!$B$2:$B$349,A4)</f>
        <v/>
      </c>
      <c r="D4" s="5">
        <f>COUNTIFS(Products!$B$2:$B$349,A4,Products!$L$2:$L$349,"*Check*")</f>
        <v/>
      </c>
    </row>
    <row r="5">
      <c r="A5" s="5" t="inlineStr">
        <is>
          <t>Plastic Cups</t>
        </is>
      </c>
      <c r="B5" s="5" t="n">
        <v>4</v>
      </c>
      <c r="C5" s="5">
        <f>COUNTIF(Products!$B$2:$B$349,A5)</f>
        <v/>
      </c>
      <c r="D5" s="5">
        <f>COUNTIFS(Products!$B$2:$B$349,A5,Products!$L$2:$L$349,"*Check*")</f>
        <v/>
      </c>
    </row>
    <row r="6">
      <c r="A6" s="5" t="inlineStr">
        <is>
          <t>Dip Sauce</t>
        </is>
      </c>
      <c r="B6" s="5" t="n">
        <v>4</v>
      </c>
      <c r="C6" s="5">
        <f>COUNTIF(Products!$B$2:$B$349,A6)</f>
        <v/>
      </c>
      <c r="D6" s="5">
        <f>COUNTIFS(Products!$B$2:$B$349,A6,Products!$L$2:$L$349,"*Check*")</f>
        <v/>
      </c>
    </row>
    <row r="7">
      <c r="A7" s="5" t="inlineStr">
        <is>
          <t>Dom Glass</t>
        </is>
      </c>
      <c r="B7" s="5" t="n">
        <v>7</v>
      </c>
      <c r="C7" s="5">
        <f>COUNTIF(Products!$B$2:$B$349,A7)</f>
        <v/>
      </c>
      <c r="D7" s="5">
        <f>COUNTIFS(Products!$B$2:$B$349,A7,Products!$L$2:$L$349,"*Check*")</f>
        <v/>
      </c>
    </row>
    <row r="8">
      <c r="A8" s="5" t="inlineStr">
        <is>
          <t>Faloda Glass</t>
        </is>
      </c>
      <c r="B8" s="5" t="n">
        <v>1</v>
      </c>
      <c r="C8" s="5">
        <f>COUNTIF(Products!$B$2:$B$349,A8)</f>
        <v/>
      </c>
      <c r="D8" s="5">
        <f>COUNTIFS(Products!$B$2:$B$349,A8,Products!$L$2:$L$349,"*Check*")</f>
        <v/>
      </c>
    </row>
    <row r="9">
      <c r="A9" s="5" t="inlineStr">
        <is>
          <t>Plastic Glass</t>
        </is>
      </c>
      <c r="B9" s="5" t="n">
        <v>5</v>
      </c>
      <c r="C9" s="5">
        <f>COUNTIF(Products!$B$2:$B$349,A9)</f>
        <v/>
      </c>
      <c r="D9" s="5">
        <f>COUNTIFS(Products!$B$2:$B$349,A9,Products!$L$2:$L$349,"*Check*")</f>
        <v/>
      </c>
    </row>
    <row r="10">
      <c r="A10" s="5" t="inlineStr">
        <is>
          <t>Aluminum Foil</t>
        </is>
      </c>
      <c r="B10" s="5" t="n">
        <v>3</v>
      </c>
      <c r="C10" s="5">
        <f>COUNTIF(Products!$B$2:$B$349,A10)</f>
        <v/>
      </c>
      <c r="D10" s="5">
        <f>COUNTIFS(Products!$B$2:$B$349,A10,Products!$L$2:$L$349,"*Check*")</f>
        <v/>
      </c>
    </row>
    <row r="11">
      <c r="A11" s="5" t="inlineStr">
        <is>
          <t>Plates</t>
        </is>
      </c>
      <c r="B11" s="5" t="n">
        <v>3</v>
      </c>
      <c r="C11" s="5">
        <f>COUNTIF(Products!$B$2:$B$349,A11)</f>
        <v/>
      </c>
      <c r="D11" s="5">
        <f>COUNTIFS(Products!$B$2:$B$349,A11,Products!$L$2:$L$349,"*Check*")</f>
        <v/>
      </c>
    </row>
    <row r="12">
      <c r="A12" s="5" t="inlineStr">
        <is>
          <t>H Series</t>
        </is>
      </c>
      <c r="B12" s="5" t="n">
        <v>1</v>
      </c>
      <c r="C12" s="5">
        <f>COUNTIF(Products!$B$2:$B$349,A12)</f>
        <v/>
      </c>
      <c r="D12" s="5">
        <f>COUNTIFS(Products!$B$2:$B$349,A12,Products!$L$2:$L$349,"*Check*")</f>
        <v/>
      </c>
    </row>
    <row r="13">
      <c r="A13" s="5" t="inlineStr">
        <is>
          <t>W Series</t>
        </is>
      </c>
      <c r="B13" s="5" t="n">
        <v>2</v>
      </c>
      <c r="C13" s="5">
        <f>COUNTIF(Products!$B$2:$B$349,A13)</f>
        <v/>
      </c>
      <c r="D13" s="5">
        <f>COUNTIFS(Products!$B$2:$B$349,A13,Products!$L$2:$L$349,"*Check*")</f>
        <v/>
      </c>
    </row>
    <row r="14">
      <c r="A14" s="5" t="inlineStr">
        <is>
          <t>Food Container</t>
        </is>
      </c>
      <c r="B14" s="5" t="n">
        <v>13</v>
      </c>
      <c r="C14" s="5">
        <f>COUNTIF(Products!$B$2:$B$349,A14)</f>
        <v/>
      </c>
      <c r="D14" s="5">
        <f>COUNTIFS(Products!$B$2:$B$349,A14,Products!$L$2:$L$349,"*Check*")</f>
        <v/>
      </c>
    </row>
    <row r="15">
      <c r="A15" s="5" t="inlineStr">
        <is>
          <t>Spoon and Fork</t>
        </is>
      </c>
      <c r="B15" s="5" t="n">
        <v>4</v>
      </c>
      <c r="C15" s="5">
        <f>COUNTIF(Products!$B$2:$B$349,A15)</f>
        <v/>
      </c>
      <c r="D15" s="5">
        <f>COUNTIFS(Products!$B$2:$B$349,A15,Products!$L$2:$L$349,"*Check*")</f>
        <v/>
      </c>
    </row>
    <row r="16">
      <c r="A16" s="5" t="inlineStr">
        <is>
          <t>Gloves</t>
        </is>
      </c>
      <c r="B16" s="5" t="n">
        <v>2</v>
      </c>
      <c r="C16" s="5">
        <f>COUNTIF(Products!$B$2:$B$349,A16)</f>
        <v/>
      </c>
      <c r="D16" s="5">
        <f>COUNTIFS(Products!$B$2:$B$349,A16,Products!$L$2:$L$349,"*Check*")</f>
        <v/>
      </c>
    </row>
    <row r="17">
      <c r="A17" s="5" t="inlineStr">
        <is>
          <t>BBQ Stick</t>
        </is>
      </c>
      <c r="B17" s="5" t="n">
        <v>1</v>
      </c>
      <c r="C17" s="5">
        <f>COUNTIF(Products!$B$2:$B$349,A17)</f>
        <v/>
      </c>
      <c r="D17" s="5">
        <f>COUNTIFS(Products!$B$2:$B$349,A17,Products!$L$2:$L$349,"*Check*")</f>
        <v/>
      </c>
    </row>
    <row r="18">
      <c r="A18" s="5" t="inlineStr">
        <is>
          <t>Tissue</t>
        </is>
      </c>
      <c r="B18" s="5" t="n">
        <v>1</v>
      </c>
      <c r="C18" s="5">
        <f>COUNTIF(Products!$B$2:$B$349,A18)</f>
        <v/>
      </c>
      <c r="D18" s="5">
        <f>COUNTIFS(Products!$B$2:$B$349,A18,Products!$L$2:$L$349,"*Check*")</f>
        <v/>
      </c>
    </row>
    <row r="19">
      <c r="A19" s="5" t="inlineStr">
        <is>
          <t>Straw</t>
        </is>
      </c>
      <c r="B19" s="5" t="n">
        <v>2</v>
      </c>
      <c r="C19" s="5">
        <f>COUNTIF(Products!$B$2:$B$349,A19)</f>
        <v/>
      </c>
      <c r="D19" s="5">
        <f>COUNTIFS(Products!$B$2:$B$349,A19,Products!$L$2:$L$349,"*Check*")</f>
        <v/>
      </c>
    </row>
    <row r="20">
      <c r="A20" s="5" t="inlineStr">
        <is>
          <t>Egg Tray</t>
        </is>
      </c>
      <c r="B20" s="5" t="n">
        <v>1</v>
      </c>
      <c r="C20" s="5">
        <f>COUNTIF(Products!$B$2:$B$349,A20)</f>
        <v/>
      </c>
      <c r="D20" s="5">
        <f>COUNTIFS(Products!$B$2:$B$349,A20,Products!$L$2:$L$349,"*Check*")</f>
        <v/>
      </c>
    </row>
    <row r="21">
      <c r="A21" s="3" t="inlineStr">
        <is>
          <t>Total</t>
        </is>
      </c>
      <c r="B21" s="3">
        <f>SUM(B2:B20)</f>
        <v/>
      </c>
      <c r="C21" s="3">
        <f>SUM(C2:C20)</f>
        <v/>
      </c>
      <c r="D21" s="3">
        <f>SUM(D2:D20)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2026-10-05T09:21:23Z</dcterms:created>
  <dcterms:modified xsi:type="dcterms:W3CDTF">2026-10-05T09:21:23Z</dcterms:modified>
</cp:coreProperties>
</file>